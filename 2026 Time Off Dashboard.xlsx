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16" yWindow="264" windowWidth="20268" windowHeight="11580" tabRatio="600" firstSheet="7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MPLOYEE1" sheetId="3" state="visible" r:id="rId3"/>
    <sheet xmlns:r="http://schemas.openxmlformats.org/officeDocument/2006/relationships" name="EMPLOYEE2" sheetId="4" state="visible" r:id="rId4"/>
    <sheet xmlns:r="http://schemas.openxmlformats.org/officeDocument/2006/relationships" name="EMPLOYEE3" sheetId="5" state="visible" r:id="rId5"/>
    <sheet xmlns:r="http://schemas.openxmlformats.org/officeDocument/2006/relationships" name="EMPLOYEE4" sheetId="6" state="visible" r:id="rId6"/>
    <sheet xmlns:r="http://schemas.openxmlformats.org/officeDocument/2006/relationships" name="EMPLOYEE5" sheetId="7" state="visible" r:id="rId7"/>
    <sheet xmlns:r="http://schemas.openxmlformats.org/officeDocument/2006/relationships" name="EMPLOYEE6" sheetId="8" state="visible" r:id="rId8"/>
    <sheet xmlns:r="http://schemas.openxmlformats.org/officeDocument/2006/relationships" name="EMPLOYEE7" sheetId="9" state="visible" r:id="rId9"/>
    <sheet xmlns:r="http://schemas.openxmlformats.org/officeDocument/2006/relationships" name="EMPLOYEE8" sheetId="10" state="visible" r:id="rId10"/>
    <sheet xmlns:r="http://schemas.openxmlformats.org/officeDocument/2006/relationships" name="EMPLOYEE9" sheetId="11" state="visible" r:id="rId11"/>
    <sheet xmlns:r="http://schemas.openxmlformats.org/officeDocument/2006/relationships" name="EMPLOYEE10" sheetId="12" state="visible" r:id="rId12"/>
    <sheet xmlns:r="http://schemas.openxmlformats.org/officeDocument/2006/relationships" name="EMPLOYEE11" sheetId="13" state="visible" r:id="rId13"/>
    <sheet xmlns:r="http://schemas.openxmlformats.org/officeDocument/2006/relationships" name="EMPLOYEE12" sheetId="14" state="visible" r:id="rId14"/>
    <sheet xmlns:r="http://schemas.openxmlformats.org/officeDocument/2006/relationships" name="EMPLOYEE13" sheetId="15" state="visible" r:id="rId15"/>
    <sheet xmlns:r="http://schemas.openxmlformats.org/officeDocument/2006/relationships" name="EMPLOYEE14" sheetId="16" state="visible" r:id="rId16"/>
    <sheet xmlns:r="http://schemas.openxmlformats.org/officeDocument/2006/relationships" name="EMPLOYEE15" sheetId="17" state="visible" r:id="rId17"/>
    <sheet xmlns:r="http://schemas.openxmlformats.org/officeDocument/2006/relationships" name="EMPLOYEE16" sheetId="18" state="visible" r:id="rId18"/>
    <sheet xmlns:r="http://schemas.openxmlformats.org/officeDocument/2006/relationships" name="EMPLOYEE17" sheetId="19" state="visible" r:id="rId19"/>
    <sheet xmlns:r="http://schemas.openxmlformats.org/officeDocument/2006/relationships" name="EMPLOYEE18" sheetId="20" state="visible" r:id="rId20"/>
    <sheet xmlns:r="http://schemas.openxmlformats.org/officeDocument/2006/relationships" name="EMPLOYEE19" sheetId="21" state="visible" r:id="rId21"/>
    <sheet xmlns:r="http://schemas.openxmlformats.org/officeDocument/2006/relationships" name="EMPLOYEE20" sheetId="22" state="visible" r:id="rId22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#,##0.0_);\(#,##0.0\)"/>
    <numFmt numFmtId="166" formatCode="_(* #,##0.0_);_(* \(#,##0.0\);_(* &quot;-&quot;?_);_(@_)"/>
    <numFmt numFmtId="167" formatCode="0.#&quot; d&quot;"/>
    <numFmt numFmtId="168" formatCode="0.#;-0.#;0"/>
  </numFmts>
  <fonts count="21">
    <font>
      <name val="Aptos Narrow"/>
      <family val="2"/>
      <color theme="1"/>
      <sz val="11"/>
      <scheme val="minor"/>
    </font>
    <font>
      <name val="Aptos"/>
      <family val="2"/>
      <color theme="1"/>
      <sz val="14"/>
    </font>
    <font>
      <name val="Aptos"/>
      <family val="2"/>
      <color theme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ptos"/>
      <family val="2"/>
      <color theme="1"/>
      <sz val="9"/>
    </font>
    <font>
      <name val="Aptos"/>
      <family val="2"/>
      <i val="1"/>
      <color theme="1"/>
      <sz val="11"/>
    </font>
    <font>
      <name val="Aptos"/>
      <family val="2"/>
      <b val="1"/>
      <color rgb="FFFFFFFF"/>
      <sz val="10"/>
    </font>
    <font>
      <name val="Aptos"/>
      <family val="2"/>
      <b val="1"/>
      <color theme="1"/>
      <sz val="14"/>
    </font>
    <font>
      <name val="Aptos"/>
      <family val="2"/>
      <b val="1"/>
      <color theme="1"/>
      <sz val="10"/>
    </font>
    <font>
      <name val="Arial"/>
      <color rgb="00ECEAE5"/>
      <sz val="10"/>
    </font>
    <font>
      <name val="Arial"/>
      <b val="1"/>
      <color rgb="00ECEAE5"/>
      <sz val="14"/>
    </font>
    <font>
      <name val="Arial"/>
      <color rgb="009C9A94"/>
      <sz val="10"/>
    </font>
    <font>
      <name val="Arial"/>
      <color rgb="00ECEAE5"/>
      <sz val="11"/>
    </font>
    <font>
      <name val="Arial"/>
      <b val="1"/>
      <color rgb="00ECEAE5"/>
      <sz val="10"/>
    </font>
    <font>
      <name val="Roboto Mono"/>
      <color rgb="005B8DEF"/>
      <sz val="9"/>
    </font>
    <font>
      <name val="Roboto Mono"/>
      <color rgb="00F0A23B"/>
      <sz val="9"/>
    </font>
    <font>
      <name val="Arial"/>
      <b val="1"/>
      <color rgb="009C9A94"/>
      <sz val="9"/>
    </font>
    <font>
      <name val="Arial"/>
      <color rgb="003A3A37"/>
      <sz val="8"/>
    </font>
    <font>
      <name val="Roboto Mono"/>
      <color rgb="005B8DEF"/>
      <sz val="8"/>
    </font>
    <font>
      <name val="Arial"/>
      <color rgb="009C9A94"/>
      <sz val="9"/>
    </font>
  </fonts>
  <fills count="23">
    <fill>
      <patternFill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E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6D8D8"/>
        <bgColor indexed="64"/>
      </patternFill>
    </fill>
    <fill>
      <patternFill patternType="solid">
        <fgColor rgb="001A1A19"/>
      </patternFill>
    </fill>
    <fill>
      <patternFill patternType="solid">
        <fgColor rgb="0026262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auto="1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medium">
        <color auto="1"/>
      </right>
      <top style="thin">
        <color rgb="FFB4C6E7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medium">
        <color rgb="FF4472C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4472C4"/>
      </bottom>
      <diagonal/>
    </border>
    <border>
      <left style="thin">
        <color rgb="FFB4C6E7"/>
      </left>
      <right style="medium">
        <color auto="1"/>
      </right>
      <top style="thin">
        <color rgb="FFB4C6E7"/>
      </top>
      <bottom style="medium">
        <color rgb="FF4472C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3A3A37"/>
      </bottom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0" fontId="2" fillId="5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9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4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164" fontId="3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3" pivotButton="0" quotePrefix="0" xfId="0"/>
    <xf numFmtId="165" fontId="4" fillId="0" borderId="3" pivotButton="0" quotePrefix="0" xfId="0"/>
    <xf numFmtId="165" fontId="4" fillId="0" borderId="3" applyAlignment="1" pivotButton="0" quotePrefix="0" xfId="0">
      <alignment horizontal="right"/>
    </xf>
    <xf numFmtId="166" fontId="3" fillId="0" borderId="0" pivotButton="0" quotePrefix="0" xfId="0"/>
    <xf numFmtId="165" fontId="3" fillId="0" borderId="0" pivotButton="0" quotePrefix="0" xfId="0"/>
    <xf numFmtId="0" fontId="3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9" fillId="11" borderId="10" pivotButton="0" quotePrefix="0" xfId="0"/>
    <xf numFmtId="0" fontId="2" fillId="11" borderId="7" applyAlignment="1" pivotButton="0" quotePrefix="0" xfId="0">
      <alignment horizontal="center"/>
    </xf>
    <xf numFmtId="0" fontId="7" fillId="10" borderId="0" applyAlignment="1" pivotButton="0" quotePrefix="0" xfId="0">
      <alignment horizontal="center" wrapText="1"/>
    </xf>
    <xf numFmtId="0" fontId="2" fillId="12" borderId="7" applyAlignment="1" pivotButton="0" quotePrefix="0" xfId="0">
      <alignment horizontal="center"/>
    </xf>
    <xf numFmtId="0" fontId="2" fillId="13" borderId="7" applyAlignment="1" pivotButton="0" quotePrefix="0" xfId="0">
      <alignment horizontal="center"/>
    </xf>
    <xf numFmtId="0" fontId="2" fillId="14" borderId="7" applyAlignment="1" pivotButton="0" quotePrefix="0" xfId="0">
      <alignment horizontal="center"/>
    </xf>
    <xf numFmtId="0" fontId="2" fillId="15" borderId="7" applyAlignment="1" pivotButton="0" quotePrefix="0" xfId="0">
      <alignment horizontal="center"/>
    </xf>
    <xf numFmtId="0" fontId="2" fillId="16" borderId="7" applyAlignment="1" pivotButton="0" quotePrefix="0" xfId="0">
      <alignment horizontal="center"/>
    </xf>
    <xf numFmtId="0" fontId="2" fillId="17" borderId="7" applyAlignment="1" pivotButton="0" quotePrefix="0" xfId="0">
      <alignment horizontal="center"/>
    </xf>
    <xf numFmtId="0" fontId="2" fillId="18" borderId="7" applyAlignment="1" pivotButton="0" quotePrefix="0" xfId="0">
      <alignment horizontal="center"/>
    </xf>
    <xf numFmtId="0" fontId="2" fillId="19" borderId="7" applyAlignment="1" pivotButton="0" quotePrefix="0" xfId="0">
      <alignment horizontal="center"/>
    </xf>
    <xf numFmtId="0" fontId="2" fillId="20" borderId="7" applyAlignment="1" pivotButton="0" quotePrefix="0" xfId="0">
      <alignment horizontal="center"/>
    </xf>
    <xf numFmtId="0" fontId="2" fillId="20" borderId="14" applyAlignment="1" pivotButton="0" quotePrefix="0" xfId="0">
      <alignment horizontal="center"/>
    </xf>
    <xf numFmtId="0" fontId="7" fillId="10" borderId="8" applyAlignment="1" pivotButton="0" quotePrefix="0" xfId="0">
      <alignment horizontal="center" wrapText="1"/>
    </xf>
    <xf numFmtId="0" fontId="7" fillId="10" borderId="9" applyAlignment="1" pivotButton="0" quotePrefix="0" xfId="0">
      <alignment horizontal="center" wrapText="1"/>
    </xf>
    <xf numFmtId="0" fontId="9" fillId="12" borderId="10" pivotButton="0" quotePrefix="0" xfId="0"/>
    <xf numFmtId="0" fontId="9" fillId="13" borderId="10" pivotButton="0" quotePrefix="0" xfId="0"/>
    <xf numFmtId="0" fontId="9" fillId="14" borderId="10" pivotButton="0" quotePrefix="0" xfId="0"/>
    <xf numFmtId="0" fontId="9" fillId="15" borderId="10" pivotButton="0" quotePrefix="0" xfId="0"/>
    <xf numFmtId="0" fontId="9" fillId="16" borderId="10" pivotButton="0" quotePrefix="0" xfId="0"/>
    <xf numFmtId="0" fontId="9" fillId="17" borderId="10" pivotButton="0" quotePrefix="0" xfId="0"/>
    <xf numFmtId="0" fontId="9" fillId="18" borderId="10" pivotButton="0" quotePrefix="0" xfId="0"/>
    <xf numFmtId="0" fontId="9" fillId="19" borderId="10" pivotButton="0" quotePrefix="0" xfId="0"/>
    <xf numFmtId="0" fontId="9" fillId="20" borderId="10" pivotButton="0" quotePrefix="0" xfId="0"/>
    <xf numFmtId="0" fontId="9" fillId="20" borderId="13" pivotButton="0" quotePrefix="0" xfId="0"/>
    <xf numFmtId="0" fontId="7" fillId="10" borderId="11" applyAlignment="1" pivotButton="0" quotePrefix="0" xfId="0">
      <alignment horizontal="center" wrapText="1"/>
    </xf>
    <xf numFmtId="0" fontId="2" fillId="11" borderId="12" applyAlignment="1" pivotButton="0" quotePrefix="0" xfId="0">
      <alignment horizontal="center"/>
    </xf>
    <xf numFmtId="0" fontId="2" fillId="12" borderId="12" applyAlignment="1" pivotButton="0" quotePrefix="0" xfId="0">
      <alignment horizontal="center"/>
    </xf>
    <xf numFmtId="0" fontId="2" fillId="13" borderId="12" applyAlignment="1" pivotButton="0" quotePrefix="0" xfId="0">
      <alignment horizontal="center"/>
    </xf>
    <xf numFmtId="0" fontId="2" fillId="14" borderId="12" applyAlignment="1" pivotButton="0" quotePrefix="0" xfId="0">
      <alignment horizontal="center"/>
    </xf>
    <xf numFmtId="0" fontId="2" fillId="15" borderId="12" applyAlignment="1" pivotButton="0" quotePrefix="0" xfId="0">
      <alignment horizontal="center"/>
    </xf>
    <xf numFmtId="0" fontId="2" fillId="16" borderId="12" applyAlignment="1" pivotButton="0" quotePrefix="0" xfId="0">
      <alignment horizontal="center"/>
    </xf>
    <xf numFmtId="0" fontId="2" fillId="17" borderId="12" applyAlignment="1" pivotButton="0" quotePrefix="0" xfId="0">
      <alignment horizontal="center"/>
    </xf>
    <xf numFmtId="0" fontId="2" fillId="18" borderId="12" applyAlignment="1" pivotButton="0" quotePrefix="0" xfId="0">
      <alignment horizontal="center"/>
    </xf>
    <xf numFmtId="0" fontId="2" fillId="19" borderId="12" applyAlignment="1" pivotButton="0" quotePrefix="0" xfId="0">
      <alignment horizontal="center"/>
    </xf>
    <xf numFmtId="0" fontId="2" fillId="20" borderId="12" applyAlignment="1" pivotButton="0" quotePrefix="0" xfId="0">
      <alignment horizontal="center"/>
    </xf>
    <xf numFmtId="0" fontId="2" fillId="20" borderId="15" applyAlignment="1" pivotButton="0" quotePrefix="0" xfId="0">
      <alignment horizontal="center"/>
    </xf>
    <xf numFmtId="0" fontId="7" fillId="10" borderId="16" applyAlignment="1" pivotButton="0" quotePrefix="0" xfId="0">
      <alignment horizontal="center" wrapText="1"/>
    </xf>
    <xf numFmtId="0" fontId="7" fillId="10" borderId="17" applyAlignment="1" pivotButton="0" quotePrefix="0" xfId="0">
      <alignment horizontal="center" wrapText="1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" fillId="0" borderId="0" pivotButton="0" quotePrefix="0" xfId="0"/>
    <xf numFmtId="0" fontId="6" fillId="0" borderId="0" applyAlignment="1" pivotButton="0" quotePrefix="0" xfId="0">
      <alignment horizontal="center"/>
    </xf>
    <xf numFmtId="0" fontId="3" fillId="0" borderId="0" pivotButton="0" quotePrefix="0" xfId="0"/>
    <xf numFmtId="0" fontId="10" fillId="21" borderId="0" pivotButton="0" quotePrefix="0" xfId="0"/>
    <xf numFmtId="0" fontId="11" fillId="22" borderId="0" pivotButton="0" quotePrefix="0" xfId="0"/>
    <xf numFmtId="0" fontId="10" fillId="22" borderId="0" pivotButton="0" quotePrefix="0" xfId="0"/>
    <xf numFmtId="0" fontId="12" fillId="22" borderId="0" applyAlignment="1" pivotButton="0" quotePrefix="0" xfId="0">
      <alignment horizontal="right" vertical="center"/>
    </xf>
    <xf numFmtId="0" fontId="12" fillId="22" borderId="26" pivotButton="0" quotePrefix="0" xfId="0"/>
    <xf numFmtId="0" fontId="10" fillId="22" borderId="26" pivotButton="0" quotePrefix="0" xfId="0"/>
    <xf numFmtId="0" fontId="13" fillId="22" borderId="0" pivotButton="0" quotePrefix="0" xfId="0"/>
    <xf numFmtId="9" fontId="14" fillId="22" borderId="0" applyAlignment="1" pivotButton="0" quotePrefix="0" xfId="0">
      <alignment horizontal="right" vertical="center"/>
    </xf>
    <xf numFmtId="0" fontId="15" fillId="22" borderId="0" pivotButton="0" quotePrefix="0" xfId="0"/>
    <xf numFmtId="0" fontId="16" fillId="22" borderId="0" pivotButton="0" quotePrefix="0" xfId="0"/>
    <xf numFmtId="0" fontId="12" fillId="22" borderId="0" pivotButton="0" quotePrefix="0" xfId="0"/>
    <xf numFmtId="167" fontId="14" fillId="22" borderId="0" pivotButton="0" quotePrefix="0" xfId="0"/>
    <xf numFmtId="9" fontId="14" fillId="22" borderId="26" applyAlignment="1" pivotButton="0" quotePrefix="0" xfId="0">
      <alignment horizontal="right" vertical="center"/>
    </xf>
    <xf numFmtId="0" fontId="17" fillId="22" borderId="26" applyAlignment="1" pivotButton="0" quotePrefix="0" xfId="0">
      <alignment horizontal="left"/>
    </xf>
    <xf numFmtId="0" fontId="17" fillId="22" borderId="26" applyAlignment="1" pivotButton="0" quotePrefix="0" xfId="0">
      <alignment horizontal="right"/>
    </xf>
    <xf numFmtId="0" fontId="17" fillId="22" borderId="26" applyAlignment="1" pivotButton="0" quotePrefix="0" xfId="0">
      <alignment horizontal="left" indent="1"/>
    </xf>
    <xf numFmtId="0" fontId="18" fillId="21" borderId="0" pivotButton="0" quotePrefix="0" xfId="0"/>
    <xf numFmtId="0" fontId="18" fillId="0" borderId="0" pivotButton="0" quotePrefix="0" xfId="0"/>
    <xf numFmtId="168" fontId="10" fillId="22" borderId="26" applyAlignment="1" pivotButton="0" quotePrefix="0" xfId="0">
      <alignment horizontal="right"/>
    </xf>
    <xf numFmtId="0" fontId="19" fillId="22" borderId="26" applyAlignment="1" pivotButton="0" quotePrefix="0" xfId="0">
      <alignment indent="1"/>
    </xf>
    <xf numFmtId="9" fontId="10" fillId="22" borderId="26" applyAlignment="1" pivotButton="0" quotePrefix="0" xfId="0">
      <alignment horizontal="right"/>
    </xf>
    <xf numFmtId="0" fontId="10" fillId="22" borderId="26" applyAlignment="1" pivotButton="0" quotePrefix="0" xfId="0">
      <alignment horizontal="right"/>
    </xf>
    <xf numFmtId="168" fontId="12" fillId="22" borderId="26" applyAlignment="1" pivotButton="0" quotePrefix="0" xfId="0">
      <alignment horizontal="right"/>
    </xf>
    <xf numFmtId="0" fontId="10" fillId="22" borderId="26" applyAlignment="1" pivotButton="0" quotePrefix="0" xfId="0">
      <alignment indent="1"/>
    </xf>
    <xf numFmtId="0" fontId="20" fillId="21" borderId="0" pivotButton="0" quotePrefix="0" xfId="0"/>
    <xf numFmtId="0" fontId="7" fillId="10" borderId="18" applyAlignment="1" pivotButton="0" quotePrefix="0" xfId="0">
      <alignment horizontal="center" wrapText="1"/>
    </xf>
    <xf numFmtId="0" fontId="0" fillId="0" borderId="17" pivotButton="0" quotePrefix="0" xfId="0"/>
    <xf numFmtId="0" fontId="2" fillId="0" borderId="2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2" pivotButton="0" quotePrefix="0" xfId="0"/>
    <xf numFmtId="164" fontId="3" fillId="0" borderId="0" pivotButton="0" quotePrefix="0" xfId="0"/>
    <xf numFmtId="165" fontId="4" fillId="0" borderId="3" pivotButton="0" quotePrefix="0" xfId="0"/>
    <xf numFmtId="165" fontId="4" fillId="0" borderId="3" applyAlignment="1" pivotButton="0" quotePrefix="0" xfId="0">
      <alignment horizontal="right"/>
    </xf>
    <xf numFmtId="166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dxfs count="640"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00E5604D"/>
      </font>
    </dxf>
    <dxf>
      <font>
        <color rgb="00F0A23B"/>
      </font>
    </dxf>
    <dxf>
      <font>
        <b val="1"/>
        <color rgb="00E5604D"/>
      </font>
    </dxf>
    <dxf>
      <font>
        <b val="1"/>
        <color rgb="00F0A23B"/>
      </font>
    </dxf>
    <dxf>
      <font>
        <color rgb="006BBF7A"/>
      </font>
    </dxf>
    <dxf>
      <font>
        <i val="1"/>
        <color rgb="009C9A94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r>
              <a:rPr lang="en-US"/>
              <a:t>% of Annual Allotment Used/Planned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3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/>
              <a:ea typeface="Aptos"/>
              <a:cs typeface="Apto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Summary!$I$4</f>
              <strCache>
                <ptCount val="1"/>
                <pt idx="0">
                  <v>% Used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.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000000"/>
                    </a:solidFill>
                    <a:latin typeface="Aptos"/>
                    <a:ea typeface="Aptos"/>
                    <a:cs typeface="Apto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Summary!$I$5:$I$44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945711312"/>
        <axId val="945707952"/>
      </barChart>
      <catAx>
        <axId val="94571131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45707952"/>
        <crosses val="autoZero"/>
        <auto val="1"/>
        <lblAlgn val="ctr"/>
        <lblOffset val="100"/>
        <noMultiLvlLbl val="0"/>
      </catAx>
      <valAx>
        <axId val="945707952"/>
        <scaling>
          <orientation val="minMax"/>
          <max val="1"/>
          <min val="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457113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45</row>
      <rowOff>76200</rowOff>
    </from>
    <to>
      <col>7</col>
      <colOff>1428750</colOff>
      <row>101</row>
      <rowOff>97790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" customWidth="1" min="3" max="3"/>
    <col width="10" customWidth="1" min="4" max="4"/>
    <col width="24" customWidth="1" min="5" max="5"/>
    <col width="8" customWidth="1" min="6" max="6"/>
    <col width="12" customWidth="1" min="7" max="7"/>
    <col width="11" customWidth="1" min="8" max="8"/>
    <col width="12" customWidth="1" min="9" max="9"/>
    <col width="7" customWidth="1" min="10" max="10"/>
    <col width="8" customWidth="1" min="11" max="11"/>
    <col width="8" customWidth="1" min="12" max="12"/>
    <col width="7" customWidth="1" min="13" max="13"/>
    <col width="9" customWidth="1" min="14" max="14"/>
    <col width="13" customWidth="1" min="15" max="15"/>
    <col width="3" customWidth="1" min="16" max="16"/>
    <col width="10" customWidth="1" min="17" max="17"/>
  </cols>
  <sheetData>
    <row r="1">
      <c r="A1" s="82" t="n"/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</row>
    <row r="2">
      <c r="A2" s="82" t="n"/>
      <c r="B2" s="83" t="inlineStr">
        <is>
          <t>Time Off</t>
        </is>
      </c>
      <c r="C2" s="84" t="n"/>
      <c r="D2" s="84" t="n"/>
      <c r="E2" s="84" t="n"/>
      <c r="F2" s="84" t="n"/>
      <c r="G2" s="84" t="n"/>
      <c r="H2" s="84" t="n"/>
      <c r="I2" s="84" t="n"/>
      <c r="J2" s="84" t="n"/>
      <c r="K2" s="84" t="n"/>
      <c r="L2" s="84" t="n"/>
      <c r="M2" s="84" t="n"/>
      <c r="N2" s="84" t="n"/>
      <c r="O2" s="85">
        <f>"Updated "&amp;TEXT(TODAY(),"mmm d")</f>
        <v/>
      </c>
      <c r="P2" s="82" t="n"/>
    </row>
    <row r="3">
      <c r="A3" s="82" t="n"/>
      <c r="B3" s="86" t="inlineStr">
        <is>
          <t>2026 · all employees</t>
        </is>
      </c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  <c r="N3" s="87" t="n"/>
      <c r="O3" s="87" t="n"/>
      <c r="P3" s="82" t="n"/>
    </row>
    <row r="4">
      <c r="A4" s="82" t="n"/>
      <c r="B4" s="84" t="n"/>
      <c r="C4" s="84" t="n"/>
      <c r="D4" s="84" t="n"/>
      <c r="E4" s="84" t="n"/>
      <c r="F4" s="84" t="n"/>
      <c r="G4" s="84" t="n"/>
      <c r="H4" s="84" t="n"/>
      <c r="I4" s="84" t="n"/>
      <c r="J4" s="84" t="n"/>
      <c r="K4" s="84" t="n"/>
      <c r="L4" s="84" t="n"/>
      <c r="M4" s="84" t="n"/>
      <c r="N4" s="84" t="n"/>
      <c r="O4" s="84" t="n"/>
      <c r="P4" s="82" t="n"/>
    </row>
    <row r="5">
      <c r="A5" s="82" t="n"/>
      <c r="B5" s="88" t="inlineStr">
        <is>
          <t>Team PTO (incl. banked)</t>
        </is>
      </c>
      <c r="C5" s="84" t="n"/>
      <c r="D5" s="84" t="n"/>
      <c r="E5" s="84" t="n"/>
      <c r="F5" s="84" t="n"/>
      <c r="G5" s="84" t="n"/>
      <c r="H5" s="84" t="n"/>
      <c r="I5" s="85">
        <f>IF(SUM($D$23:$D$42)=0,"No allotment set yet",TEXT(SUM($D$23:$D$42)-SUM($C$23:$C$42),"0.#")&amp;" of "&amp;TEXT(SUM($D$23:$D$42),"0.#")&amp;" days left")</f>
        <v/>
      </c>
      <c r="O5" s="89">
        <f>IF(SUM($D$23:$D$42)=0,0,SUM($C$23:$C$42)/SUM($D$23:$D$42))</f>
        <v/>
      </c>
      <c r="P5" s="82" t="n"/>
    </row>
    <row r="6" ht="16" customHeight="1">
      <c r="A6" s="82" t="n"/>
      <c r="B6" s="90">
        <f>REPT("█",ROUND(MIN(1,O5)*70,0))&amp;REPT("░",70-ROUND(MIN(1,O5)*70,0))</f>
        <v/>
      </c>
      <c r="P6" s="82" t="n"/>
    </row>
    <row r="7">
      <c r="A7" s="82" t="n"/>
      <c r="B7" s="84" t="n"/>
      <c r="C7" s="84" t="n"/>
      <c r="D7" s="84" t="n"/>
      <c r="E7" s="84" t="n"/>
      <c r="F7" s="84" t="n"/>
      <c r="G7" s="84" t="n"/>
      <c r="H7" s="84" t="n"/>
      <c r="I7" s="84" t="n"/>
      <c r="J7" s="84" t="n"/>
      <c r="K7" s="84" t="n"/>
      <c r="L7" s="84" t="n"/>
      <c r="M7" s="84" t="n"/>
      <c r="N7" s="84" t="n"/>
      <c r="O7" s="84" t="n"/>
      <c r="P7" s="82" t="n"/>
    </row>
    <row r="8">
      <c r="A8" s="82" t="n"/>
      <c r="B8" s="88" t="inlineStr">
        <is>
          <t>Holidays</t>
        </is>
      </c>
      <c r="C8" s="84" t="n"/>
      <c r="D8" s="84" t="n"/>
      <c r="E8" s="84" t="n"/>
      <c r="F8" s="84" t="n"/>
      <c r="G8" s="84" t="n"/>
      <c r="H8" s="84" t="n"/>
      <c r="I8" s="85">
        <f>IF(SUM(Q23:Q42)=0,"No allotment set yet",TEXT(SUM(Q23:Q42)-SUM(R23:R42),"0.#")&amp;" of "&amp;TEXT(SUM(Q23:Q42),"0.#")&amp;" days left")</f>
        <v/>
      </c>
      <c r="O8" s="89">
        <f>IF(SUM(Q23:Q42)=0,0,SUM(R23:R42)/SUM(Q23:Q42))</f>
        <v/>
      </c>
      <c r="P8" s="82" t="n"/>
    </row>
    <row r="9" ht="16" customHeight="1">
      <c r="A9" s="82" t="n"/>
      <c r="B9" s="91">
        <f>REPT("█",ROUND(MIN(1,O8)*70,0))&amp;REPT("░",70-ROUND(MIN(1,O8)*70,0))</f>
        <v/>
      </c>
      <c r="P9" s="82" t="n"/>
    </row>
    <row r="10">
      <c r="A10" s="82" t="n"/>
      <c r="B10" s="87" t="n"/>
      <c r="C10" s="87" t="n"/>
      <c r="D10" s="87" t="n"/>
      <c r="E10" s="87" t="n"/>
      <c r="F10" s="87" t="n"/>
      <c r="G10" s="87" t="n"/>
      <c r="H10" s="87" t="n"/>
      <c r="I10" s="87" t="n"/>
      <c r="J10" s="87" t="n"/>
      <c r="K10" s="87" t="n"/>
      <c r="L10" s="87" t="n"/>
      <c r="M10" s="87" t="n"/>
      <c r="N10" s="87" t="n"/>
      <c r="O10" s="87" t="n"/>
      <c r="P10" s="82" t="n"/>
    </row>
    <row r="11">
      <c r="A11" s="82" t="n"/>
      <c r="B11" s="84" t="n"/>
      <c r="C11" s="84" t="n"/>
      <c r="D11" s="84" t="n"/>
      <c r="E11" s="84" t="n"/>
      <c r="F11" s="84" t="n"/>
      <c r="G11" s="84" t="n"/>
      <c r="H11" s="84" t="n"/>
      <c r="I11" s="84" t="n"/>
      <c r="J11" s="84" t="n"/>
      <c r="K11" s="84" t="n"/>
      <c r="L11" s="84" t="n"/>
      <c r="M11" s="84" t="n"/>
      <c r="N11" s="84" t="n"/>
      <c r="O11" s="84" t="n"/>
      <c r="P11" s="82" t="n"/>
    </row>
    <row r="12">
      <c r="A12" s="82" t="n"/>
      <c r="B12" s="88" t="inlineStr">
        <is>
          <t>This year</t>
        </is>
      </c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  <c r="L12" s="84" t="n"/>
      <c r="M12" s="84" t="n"/>
      <c r="N12" s="84" t="n"/>
      <c r="O12" s="84" t="n"/>
      <c r="P12" s="82" t="n"/>
    </row>
    <row r="13">
      <c r="A13" s="82" t="n"/>
      <c r="B13" s="92" t="inlineStr">
        <is>
          <t>PTO</t>
        </is>
      </c>
      <c r="C13" s="93">
        <f>SUM(J23:J42)</f>
        <v/>
      </c>
      <c r="D13" s="84" t="n"/>
      <c r="E13" s="92" t="inlineStr">
        <is>
          <t>Banked PTO</t>
        </is>
      </c>
      <c r="F13" s="93">
        <f>SUM(K23:K42)</f>
        <v/>
      </c>
      <c r="G13" s="84" t="n"/>
      <c r="H13" s="84" t="n"/>
      <c r="I13" s="92" t="inlineStr">
        <is>
          <t>Bereavement</t>
        </is>
      </c>
      <c r="J13" s="84" t="n"/>
      <c r="K13" s="93">
        <f>SUM(L23:L42)</f>
        <v/>
      </c>
      <c r="L13" s="84" t="n"/>
      <c r="M13" s="84" t="n"/>
      <c r="N13" s="84" t="n"/>
      <c r="O13" s="84" t="n"/>
      <c r="P13" s="82" t="n"/>
    </row>
    <row r="14">
      <c r="A14" s="82" t="n"/>
      <c r="B14" s="92" t="inlineStr">
        <is>
          <t>Jury duty</t>
        </is>
      </c>
      <c r="C14" s="93">
        <f>SUM(M23:M42)</f>
        <v/>
      </c>
      <c r="D14" s="84" t="n"/>
      <c r="E14" s="92" t="inlineStr">
        <is>
          <t>Training</t>
        </is>
      </c>
      <c r="F14" s="93">
        <f>SUM(N23:N42)</f>
        <v/>
      </c>
      <c r="G14" s="84" t="n"/>
      <c r="H14" s="84" t="n"/>
      <c r="I14" s="92" t="inlineStr">
        <is>
          <t>Out this month</t>
        </is>
      </c>
      <c r="J14" s="84" t="n"/>
      <c r="K14" s="93">
        <f>SUM(H23:H42)</f>
        <v/>
      </c>
      <c r="L14" s="84" t="n"/>
      <c r="M14" s="84" t="n"/>
      <c r="N14" s="84" t="n"/>
      <c r="O14" s="84" t="n"/>
      <c r="P14" s="82" t="n"/>
    </row>
    <row r="15">
      <c r="A15" s="82" t="n"/>
      <c r="B15" s="87" t="n"/>
      <c r="C15" s="87" t="n"/>
      <c r="D15" s="87" t="n"/>
      <c r="E15" s="87" t="n"/>
      <c r="F15" s="87" t="n"/>
      <c r="G15" s="87" t="n"/>
      <c r="H15" s="87" t="n"/>
      <c r="I15" s="87" t="n"/>
      <c r="J15" s="87" t="n"/>
      <c r="K15" s="87" t="n"/>
      <c r="L15" s="87" t="n"/>
      <c r="M15" s="87" t="n"/>
      <c r="N15" s="87" t="n"/>
      <c r="O15" s="87" t="n"/>
      <c r="P15" s="82" t="n"/>
    </row>
    <row r="16">
      <c r="A16" s="82" t="n"/>
      <c r="B16" s="84" t="n"/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4" t="n"/>
      <c r="M16" s="84" t="n"/>
      <c r="N16" s="84" t="n"/>
      <c r="O16" s="84" t="n"/>
      <c r="P16" s="82" t="n"/>
    </row>
    <row r="17">
      <c r="A17" s="82" t="n"/>
      <c r="B17" s="88" t="inlineStr">
        <is>
          <t>Highest PTO usage</t>
        </is>
      </c>
      <c r="C17" s="84" t="n"/>
      <c r="D17" s="84" t="n"/>
      <c r="E17" s="84" t="n"/>
      <c r="F17" s="84" t="n"/>
      <c r="G17" s="84" t="n"/>
      <c r="H17" s="84" t="n"/>
      <c r="I17" s="85" t="inlineStr">
        <is>
          <t>Top 3 by % of allotment</t>
        </is>
      </c>
      <c r="P17" s="82" t="n"/>
    </row>
    <row r="18">
      <c r="A18" s="82" t="n"/>
      <c r="B18" s="84">
        <f>IF(INDEX($F$23:$F$42,MATCH(LARGE($P$23:$P$42,1),$P$23:$P$42,0))&gt;0,INDEX($B$23:$B$42,MATCH(LARGE($P$23:$P$42,1),$P$23:$P$42,0)),"—")</f>
        <v/>
      </c>
      <c r="C18" s="84" t="n"/>
      <c r="D18" s="84" t="n"/>
      <c r="E18" s="92">
        <f>IF(B18="—","",INDEX($O$23:$O$42,MATCH(LARGE($P$23:$P$42,1),$P$23:$P$42,0)))</f>
        <v/>
      </c>
      <c r="F18" s="84" t="n"/>
      <c r="G18" s="84" t="n"/>
      <c r="H18" s="84" t="n"/>
      <c r="I18" s="84" t="n"/>
      <c r="J18" s="84" t="n"/>
      <c r="K18" s="84" t="n"/>
      <c r="L18" s="84" t="n"/>
      <c r="M18" s="84" t="n"/>
      <c r="N18" s="84" t="n"/>
      <c r="O18" s="89">
        <f>IF(B18="—","",INDEX($F$23:$F$42,MATCH(LARGE($P$23:$P$42,1),$P$23:$P$42,0)))</f>
        <v/>
      </c>
      <c r="P18" s="82" t="n"/>
    </row>
    <row r="19">
      <c r="A19" s="82" t="n"/>
      <c r="B19" s="84">
        <f>IF(INDEX($F$23:$F$42,MATCH(LARGE($P$23:$P$42,2),$P$23:$P$42,0))&gt;0,INDEX($B$23:$B$42,MATCH(LARGE($P$23:$P$42,2),$P$23:$P$42,0)),"—")</f>
        <v/>
      </c>
      <c r="C19" s="84" t="n"/>
      <c r="D19" s="84" t="n"/>
      <c r="E19" s="92">
        <f>IF(B19="—","",INDEX($O$23:$O$42,MATCH(LARGE($P$23:$P$42,2),$P$23:$P$42,0)))</f>
        <v/>
      </c>
      <c r="F19" s="84" t="n"/>
      <c r="G19" s="84" t="n"/>
      <c r="H19" s="84" t="n"/>
      <c r="I19" s="84" t="n"/>
      <c r="J19" s="84" t="n"/>
      <c r="K19" s="84" t="n"/>
      <c r="L19" s="84" t="n"/>
      <c r="M19" s="84" t="n"/>
      <c r="N19" s="84" t="n"/>
      <c r="O19" s="89">
        <f>IF(B19="—","",INDEX($F$23:$F$42,MATCH(LARGE($P$23:$P$42,2),$P$23:$P$42,0)))</f>
        <v/>
      </c>
      <c r="P19" s="82" t="n"/>
    </row>
    <row r="20">
      <c r="A20" s="82" t="n"/>
      <c r="B20" s="87">
        <f>IF(INDEX($F$23:$F$42,MATCH(LARGE($P$23:$P$42,3),$P$23:$P$42,0))&gt;0,INDEX($B$23:$B$42,MATCH(LARGE($P$23:$P$42,3),$P$23:$P$42,0)),"—")</f>
        <v/>
      </c>
      <c r="C20" s="87" t="n"/>
      <c r="D20" s="87" t="n"/>
      <c r="E20" s="86">
        <f>IF(B20="—","",INDEX($O$23:$O$42,MATCH(LARGE($P$23:$P$42,3),$P$23:$P$42,0)))</f>
        <v/>
      </c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94">
        <f>IF(B20="—","",INDEX($F$23:$F$42,MATCH(LARGE($P$23:$P$42,3),$P$23:$P$42,0)))</f>
        <v/>
      </c>
      <c r="P20" s="82" t="n"/>
    </row>
    <row r="21">
      <c r="A21" s="82" t="n"/>
      <c r="B21" s="84" t="n"/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2" t="n"/>
    </row>
    <row r="22">
      <c r="A22" s="82" t="n"/>
      <c r="B22" s="95" t="inlineStr">
        <is>
          <t>Employee</t>
        </is>
      </c>
      <c r="C22" s="96" t="inlineStr">
        <is>
          <t>PTO used</t>
        </is>
      </c>
      <c r="D22" s="96" t="inlineStr">
        <is>
          <t>Allotted</t>
        </is>
      </c>
      <c r="E22" s="95" t="inlineStr"/>
      <c r="F22" s="96" t="inlineStr">
        <is>
          <t>% used</t>
        </is>
      </c>
      <c r="G22" s="96" t="inlineStr">
        <is>
          <t>Left</t>
        </is>
      </c>
      <c r="H22" s="96" t="inlineStr">
        <is>
          <t>This month</t>
        </is>
      </c>
      <c r="I22" s="96" t="inlineStr">
        <is>
          <t>Holidays</t>
        </is>
      </c>
      <c r="J22" s="96" t="inlineStr">
        <is>
          <t>PTO</t>
        </is>
      </c>
      <c r="K22" s="96" t="inlineStr">
        <is>
          <t>Banked</t>
        </is>
      </c>
      <c r="L22" s="96" t="inlineStr">
        <is>
          <t>Bereav.</t>
        </is>
      </c>
      <c r="M22" s="96" t="inlineStr">
        <is>
          <t>Jury</t>
        </is>
      </c>
      <c r="N22" s="96" t="inlineStr">
        <is>
          <t>Training</t>
        </is>
      </c>
      <c r="O22" s="97" t="inlineStr">
        <is>
          <t>Status</t>
        </is>
      </c>
      <c r="P22" s="98" t="inlineStr">
        <is>
          <t>Sort key</t>
        </is>
      </c>
      <c r="Q22" s="99" t="inlineStr">
        <is>
          <t>Hol. allot.</t>
        </is>
      </c>
      <c r="R22" s="99" t="inlineStr">
        <is>
          <t>Hol. used</t>
        </is>
      </c>
    </row>
    <row r="23">
      <c r="A23" s="82" t="n"/>
      <c r="B23" s="87">
        <f>'EMPLOYEE1'!A2</f>
        <v/>
      </c>
      <c r="C23" s="100">
        <f>'EMPLOYEE1'!AI23+'EMPLOYEE1'!AJ23</f>
        <v/>
      </c>
      <c r="D23" s="100">
        <f>N('EMPLOYEE1'!D5)+N('EMPLOYEE1'!D6)</f>
        <v/>
      </c>
      <c r="E23" s="101">
        <f>REPT("█",ROUND(MIN(1,F23)*20,0))&amp;REPT("░",20-ROUND(MIN(1,F23)*20,0))</f>
        <v/>
      </c>
      <c r="F23" s="102">
        <f>IF(D23=0,0,C23/D23)</f>
        <v/>
      </c>
      <c r="G23" s="100">
        <f>IF(D23=0,"—",D23-C23)</f>
        <v/>
      </c>
      <c r="H23" s="100">
        <f>SUM(INDEX('EMPLOYEE1'!$AI$11:$AM$22,MONTH(TODAY()),0))</f>
        <v/>
      </c>
      <c r="I23" s="103">
        <f>R23&amp;" of "&amp;Q23</f>
        <v/>
      </c>
      <c r="J23" s="104">
        <f>'EMPLOYEE1'!AI23</f>
        <v/>
      </c>
      <c r="K23" s="104">
        <f>'EMPLOYEE1'!AJ23</f>
        <v/>
      </c>
      <c r="L23" s="104">
        <f>'EMPLOYEE1'!AK23</f>
        <v/>
      </c>
      <c r="M23" s="104">
        <f>'EMPLOYEE1'!AL23</f>
        <v/>
      </c>
      <c r="N23" s="104">
        <f>'EMPLOYEE1'!AM23</f>
        <v/>
      </c>
      <c r="O23" s="105">
        <f>IF(D23=0,"Set allotment",IF(F23&gt;=1,"Over",IF(F23&gt;=0.8,"Running low","On track")))</f>
        <v/>
      </c>
      <c r="P23" s="98">
        <f>F23+(100-ROW())/100000</f>
        <v/>
      </c>
      <c r="Q23" s="99">
        <f>N('EMPLOYEE1'!D7)</f>
        <v/>
      </c>
      <c r="R23" s="99">
        <f>'EMPLOYEE1'!AH23</f>
        <v/>
      </c>
    </row>
    <row r="24">
      <c r="A24" s="82" t="n"/>
      <c r="B24" s="87">
        <f>'EMPLOYEE2'!A2</f>
        <v/>
      </c>
      <c r="C24" s="100">
        <f>'EMPLOYEE2'!AI23+'EMPLOYEE2'!AJ23</f>
        <v/>
      </c>
      <c r="D24" s="100">
        <f>N('EMPLOYEE2'!D5)+N('EMPLOYEE2'!D6)</f>
        <v/>
      </c>
      <c r="E24" s="101">
        <f>REPT("█",ROUND(MIN(1,F24)*20,0))&amp;REPT("░",20-ROUND(MIN(1,F24)*20,0))</f>
        <v/>
      </c>
      <c r="F24" s="102">
        <f>IF(D24=0,0,C24/D24)</f>
        <v/>
      </c>
      <c r="G24" s="100">
        <f>IF(D24=0,"—",D24-C24)</f>
        <v/>
      </c>
      <c r="H24" s="100">
        <f>SUM(INDEX('EMPLOYEE2'!$AI$11:$AM$22,MONTH(TODAY()),0))</f>
        <v/>
      </c>
      <c r="I24" s="103">
        <f>R24&amp;" of "&amp;Q24</f>
        <v/>
      </c>
      <c r="J24" s="104">
        <f>'EMPLOYEE2'!AI23</f>
        <v/>
      </c>
      <c r="K24" s="104">
        <f>'EMPLOYEE2'!AJ23</f>
        <v/>
      </c>
      <c r="L24" s="104">
        <f>'EMPLOYEE2'!AK23</f>
        <v/>
      </c>
      <c r="M24" s="104">
        <f>'EMPLOYEE2'!AL23</f>
        <v/>
      </c>
      <c r="N24" s="104">
        <f>'EMPLOYEE2'!AM23</f>
        <v/>
      </c>
      <c r="O24" s="105">
        <f>IF(D24=0,"Set allotment",IF(F24&gt;=1,"Over",IF(F24&gt;=0.8,"Running low","On track")))</f>
        <v/>
      </c>
      <c r="P24" s="98">
        <f>F24+(100-ROW())/100000</f>
        <v/>
      </c>
      <c r="Q24" s="99">
        <f>N('EMPLOYEE2'!D7)</f>
        <v/>
      </c>
      <c r="R24" s="99">
        <f>'EMPLOYEE2'!AH23</f>
        <v/>
      </c>
    </row>
    <row r="25">
      <c r="A25" s="82" t="n"/>
      <c r="B25" s="87">
        <f>'EMPLOYEE3'!A2</f>
        <v/>
      </c>
      <c r="C25" s="100">
        <f>'EMPLOYEE3'!AI23+'EMPLOYEE3'!AJ23</f>
        <v/>
      </c>
      <c r="D25" s="100">
        <f>N('EMPLOYEE3'!D5)+N('EMPLOYEE3'!D6)</f>
        <v/>
      </c>
      <c r="E25" s="101">
        <f>REPT("█",ROUND(MIN(1,F25)*20,0))&amp;REPT("░",20-ROUND(MIN(1,F25)*20,0))</f>
        <v/>
      </c>
      <c r="F25" s="102">
        <f>IF(D25=0,0,C25/D25)</f>
        <v/>
      </c>
      <c r="G25" s="100">
        <f>IF(D25=0,"—",D25-C25)</f>
        <v/>
      </c>
      <c r="H25" s="100">
        <f>SUM(INDEX('EMPLOYEE3'!$AI$11:$AM$22,MONTH(TODAY()),0))</f>
        <v/>
      </c>
      <c r="I25" s="103">
        <f>R25&amp;" of "&amp;Q25</f>
        <v/>
      </c>
      <c r="J25" s="104">
        <f>'EMPLOYEE3'!AI23</f>
        <v/>
      </c>
      <c r="K25" s="104">
        <f>'EMPLOYEE3'!AJ23</f>
        <v/>
      </c>
      <c r="L25" s="104">
        <f>'EMPLOYEE3'!AK23</f>
        <v/>
      </c>
      <c r="M25" s="104">
        <f>'EMPLOYEE3'!AL23</f>
        <v/>
      </c>
      <c r="N25" s="104">
        <f>'EMPLOYEE3'!AM23</f>
        <v/>
      </c>
      <c r="O25" s="105">
        <f>IF(D25=0,"Set allotment",IF(F25&gt;=1,"Over",IF(F25&gt;=0.8,"Running low","On track")))</f>
        <v/>
      </c>
      <c r="P25" s="98">
        <f>F25+(100-ROW())/100000</f>
        <v/>
      </c>
      <c r="Q25" s="99">
        <f>N('EMPLOYEE3'!D7)</f>
        <v/>
      </c>
      <c r="R25" s="99">
        <f>'EMPLOYEE3'!AH23</f>
        <v/>
      </c>
    </row>
    <row r="26">
      <c r="A26" s="82" t="n"/>
      <c r="B26" s="87">
        <f>'EMPLOYEE4'!A2</f>
        <v/>
      </c>
      <c r="C26" s="100">
        <f>'EMPLOYEE4'!AI23+'EMPLOYEE4'!AJ23</f>
        <v/>
      </c>
      <c r="D26" s="100">
        <f>N('EMPLOYEE4'!D5)+N('EMPLOYEE4'!D6)</f>
        <v/>
      </c>
      <c r="E26" s="101">
        <f>REPT("█",ROUND(MIN(1,F26)*20,0))&amp;REPT("░",20-ROUND(MIN(1,F26)*20,0))</f>
        <v/>
      </c>
      <c r="F26" s="102">
        <f>IF(D26=0,0,C26/D26)</f>
        <v/>
      </c>
      <c r="G26" s="100">
        <f>IF(D26=0,"—",D26-C26)</f>
        <v/>
      </c>
      <c r="H26" s="100">
        <f>SUM(INDEX('EMPLOYEE4'!$AI$11:$AM$22,MONTH(TODAY()),0))</f>
        <v/>
      </c>
      <c r="I26" s="103">
        <f>R26&amp;" of "&amp;Q26</f>
        <v/>
      </c>
      <c r="J26" s="104">
        <f>'EMPLOYEE4'!AI23</f>
        <v/>
      </c>
      <c r="K26" s="104">
        <f>'EMPLOYEE4'!AJ23</f>
        <v/>
      </c>
      <c r="L26" s="104">
        <f>'EMPLOYEE4'!AK23</f>
        <v/>
      </c>
      <c r="M26" s="104">
        <f>'EMPLOYEE4'!AL23</f>
        <v/>
      </c>
      <c r="N26" s="104">
        <f>'EMPLOYEE4'!AM23</f>
        <v/>
      </c>
      <c r="O26" s="105">
        <f>IF(D26=0,"Set allotment",IF(F26&gt;=1,"Over",IF(F26&gt;=0.8,"Running low","On track")))</f>
        <v/>
      </c>
      <c r="P26" s="98">
        <f>F26+(100-ROW())/100000</f>
        <v/>
      </c>
      <c r="Q26" s="99">
        <f>N('EMPLOYEE4'!D7)</f>
        <v/>
      </c>
      <c r="R26" s="99">
        <f>'EMPLOYEE4'!AH23</f>
        <v/>
      </c>
    </row>
    <row r="27">
      <c r="A27" s="82" t="n"/>
      <c r="B27" s="87">
        <f>'EMPLOYEE5'!A2</f>
        <v/>
      </c>
      <c r="C27" s="100">
        <f>'EMPLOYEE5'!AI23+'EMPLOYEE5'!AJ23</f>
        <v/>
      </c>
      <c r="D27" s="100">
        <f>N('EMPLOYEE5'!D5)+N('EMPLOYEE5'!D6)</f>
        <v/>
      </c>
      <c r="E27" s="101">
        <f>REPT("█",ROUND(MIN(1,F27)*20,0))&amp;REPT("░",20-ROUND(MIN(1,F27)*20,0))</f>
        <v/>
      </c>
      <c r="F27" s="102">
        <f>IF(D27=0,0,C27/D27)</f>
        <v/>
      </c>
      <c r="G27" s="100">
        <f>IF(D27=0,"—",D27-C27)</f>
        <v/>
      </c>
      <c r="H27" s="100">
        <f>SUM(INDEX('EMPLOYEE5'!$AI$11:$AM$22,MONTH(TODAY()),0))</f>
        <v/>
      </c>
      <c r="I27" s="103">
        <f>R27&amp;" of "&amp;Q27</f>
        <v/>
      </c>
      <c r="J27" s="104">
        <f>'EMPLOYEE5'!AI23</f>
        <v/>
      </c>
      <c r="K27" s="104">
        <f>'EMPLOYEE5'!AJ23</f>
        <v/>
      </c>
      <c r="L27" s="104">
        <f>'EMPLOYEE5'!AK23</f>
        <v/>
      </c>
      <c r="M27" s="104">
        <f>'EMPLOYEE5'!AL23</f>
        <v/>
      </c>
      <c r="N27" s="104">
        <f>'EMPLOYEE5'!AM23</f>
        <v/>
      </c>
      <c r="O27" s="105">
        <f>IF(D27=0,"Set allotment",IF(F27&gt;=1,"Over",IF(F27&gt;=0.8,"Running low","On track")))</f>
        <v/>
      </c>
      <c r="P27" s="98">
        <f>F27+(100-ROW())/100000</f>
        <v/>
      </c>
      <c r="Q27" s="99">
        <f>N('EMPLOYEE5'!D7)</f>
        <v/>
      </c>
      <c r="R27" s="99">
        <f>'EMPLOYEE5'!AH23</f>
        <v/>
      </c>
    </row>
    <row r="28">
      <c r="A28" s="82" t="n"/>
      <c r="B28" s="87">
        <f>'EMPLOYEE6'!A2</f>
        <v/>
      </c>
      <c r="C28" s="100">
        <f>'EMPLOYEE6'!AI23+'EMPLOYEE6'!AJ23</f>
        <v/>
      </c>
      <c r="D28" s="100">
        <f>N('EMPLOYEE6'!D5)+N('EMPLOYEE6'!D6)</f>
        <v/>
      </c>
      <c r="E28" s="101">
        <f>REPT("█",ROUND(MIN(1,F28)*20,0))&amp;REPT("░",20-ROUND(MIN(1,F28)*20,0))</f>
        <v/>
      </c>
      <c r="F28" s="102">
        <f>IF(D28=0,0,C28/D28)</f>
        <v/>
      </c>
      <c r="G28" s="100">
        <f>IF(D28=0,"—",D28-C28)</f>
        <v/>
      </c>
      <c r="H28" s="100">
        <f>SUM(INDEX('EMPLOYEE6'!$AI$11:$AM$22,MONTH(TODAY()),0))</f>
        <v/>
      </c>
      <c r="I28" s="103">
        <f>R28&amp;" of "&amp;Q28</f>
        <v/>
      </c>
      <c r="J28" s="104">
        <f>'EMPLOYEE6'!AI23</f>
        <v/>
      </c>
      <c r="K28" s="104">
        <f>'EMPLOYEE6'!AJ23</f>
        <v/>
      </c>
      <c r="L28" s="104">
        <f>'EMPLOYEE6'!AK23</f>
        <v/>
      </c>
      <c r="M28" s="104">
        <f>'EMPLOYEE6'!AL23</f>
        <v/>
      </c>
      <c r="N28" s="104">
        <f>'EMPLOYEE6'!AM23</f>
        <v/>
      </c>
      <c r="O28" s="105">
        <f>IF(D28=0,"Set allotment",IF(F28&gt;=1,"Over",IF(F28&gt;=0.8,"Running low","On track")))</f>
        <v/>
      </c>
      <c r="P28" s="98">
        <f>F28+(100-ROW())/100000</f>
        <v/>
      </c>
      <c r="Q28" s="99">
        <f>N('EMPLOYEE6'!D7)</f>
        <v/>
      </c>
      <c r="R28" s="99">
        <f>'EMPLOYEE6'!AH23</f>
        <v/>
      </c>
    </row>
    <row r="29">
      <c r="A29" s="82" t="n"/>
      <c r="B29" s="87">
        <f>'EMPLOYEE7'!A2</f>
        <v/>
      </c>
      <c r="C29" s="100">
        <f>'EMPLOYEE7'!AI23+'EMPLOYEE7'!AJ23</f>
        <v/>
      </c>
      <c r="D29" s="100">
        <f>N('EMPLOYEE7'!D5)+N('EMPLOYEE7'!D6)</f>
        <v/>
      </c>
      <c r="E29" s="101">
        <f>REPT("█",ROUND(MIN(1,F29)*20,0))&amp;REPT("░",20-ROUND(MIN(1,F29)*20,0))</f>
        <v/>
      </c>
      <c r="F29" s="102">
        <f>IF(D29=0,0,C29/D29)</f>
        <v/>
      </c>
      <c r="G29" s="100">
        <f>IF(D29=0,"—",D29-C29)</f>
        <v/>
      </c>
      <c r="H29" s="100">
        <f>SUM(INDEX('EMPLOYEE7'!$AI$11:$AM$22,MONTH(TODAY()),0))</f>
        <v/>
      </c>
      <c r="I29" s="103">
        <f>R29&amp;" of "&amp;Q29</f>
        <v/>
      </c>
      <c r="J29" s="104">
        <f>'EMPLOYEE7'!AI23</f>
        <v/>
      </c>
      <c r="K29" s="104">
        <f>'EMPLOYEE7'!AJ23</f>
        <v/>
      </c>
      <c r="L29" s="104">
        <f>'EMPLOYEE7'!AK23</f>
        <v/>
      </c>
      <c r="M29" s="104">
        <f>'EMPLOYEE7'!AL23</f>
        <v/>
      </c>
      <c r="N29" s="104">
        <f>'EMPLOYEE7'!AM23</f>
        <v/>
      </c>
      <c r="O29" s="105">
        <f>IF(D29=0,"Set allotment",IF(F29&gt;=1,"Over",IF(F29&gt;=0.8,"Running low","On track")))</f>
        <v/>
      </c>
      <c r="P29" s="98">
        <f>F29+(100-ROW())/100000</f>
        <v/>
      </c>
      <c r="Q29" s="99">
        <f>N('EMPLOYEE7'!D7)</f>
        <v/>
      </c>
      <c r="R29" s="99">
        <f>'EMPLOYEE7'!AH23</f>
        <v/>
      </c>
    </row>
    <row r="30">
      <c r="A30" s="82" t="n"/>
      <c r="B30" s="87">
        <f>'EMPLOYEE8'!A2</f>
        <v/>
      </c>
      <c r="C30" s="100">
        <f>'EMPLOYEE8'!AI23+'EMPLOYEE8'!AJ23</f>
        <v/>
      </c>
      <c r="D30" s="100">
        <f>N('EMPLOYEE8'!D5)+N('EMPLOYEE8'!D6)</f>
        <v/>
      </c>
      <c r="E30" s="101">
        <f>REPT("█",ROUND(MIN(1,F30)*20,0))&amp;REPT("░",20-ROUND(MIN(1,F30)*20,0))</f>
        <v/>
      </c>
      <c r="F30" s="102">
        <f>IF(D30=0,0,C30/D30)</f>
        <v/>
      </c>
      <c r="G30" s="100">
        <f>IF(D30=0,"—",D30-C30)</f>
        <v/>
      </c>
      <c r="H30" s="100">
        <f>SUM(INDEX('EMPLOYEE8'!$AI$11:$AM$22,MONTH(TODAY()),0))</f>
        <v/>
      </c>
      <c r="I30" s="103">
        <f>R30&amp;" of "&amp;Q30</f>
        <v/>
      </c>
      <c r="J30" s="104">
        <f>'EMPLOYEE8'!AI23</f>
        <v/>
      </c>
      <c r="K30" s="104">
        <f>'EMPLOYEE8'!AJ23</f>
        <v/>
      </c>
      <c r="L30" s="104">
        <f>'EMPLOYEE8'!AK23</f>
        <v/>
      </c>
      <c r="M30" s="104">
        <f>'EMPLOYEE8'!AL23</f>
        <v/>
      </c>
      <c r="N30" s="104">
        <f>'EMPLOYEE8'!AM23</f>
        <v/>
      </c>
      <c r="O30" s="105">
        <f>IF(D30=0,"Set allotment",IF(F30&gt;=1,"Over",IF(F30&gt;=0.8,"Running low","On track")))</f>
        <v/>
      </c>
      <c r="P30" s="98">
        <f>F30+(100-ROW())/100000</f>
        <v/>
      </c>
      <c r="Q30" s="99">
        <f>N('EMPLOYEE8'!D7)</f>
        <v/>
      </c>
      <c r="R30" s="99">
        <f>'EMPLOYEE8'!AH23</f>
        <v/>
      </c>
    </row>
    <row r="31">
      <c r="A31" s="82" t="n"/>
      <c r="B31" s="87">
        <f>'EMPLOYEE9'!A2</f>
        <v/>
      </c>
      <c r="C31" s="100">
        <f>'EMPLOYEE9'!AI23+'EMPLOYEE9'!AJ23</f>
        <v/>
      </c>
      <c r="D31" s="100">
        <f>N('EMPLOYEE9'!D5)+N('EMPLOYEE9'!D6)</f>
        <v/>
      </c>
      <c r="E31" s="101">
        <f>REPT("█",ROUND(MIN(1,F31)*20,0))&amp;REPT("░",20-ROUND(MIN(1,F31)*20,0))</f>
        <v/>
      </c>
      <c r="F31" s="102">
        <f>IF(D31=0,0,C31/D31)</f>
        <v/>
      </c>
      <c r="G31" s="100">
        <f>IF(D31=0,"—",D31-C31)</f>
        <v/>
      </c>
      <c r="H31" s="100">
        <f>SUM(INDEX('EMPLOYEE9'!$AI$11:$AM$22,MONTH(TODAY()),0))</f>
        <v/>
      </c>
      <c r="I31" s="103">
        <f>R31&amp;" of "&amp;Q31</f>
        <v/>
      </c>
      <c r="J31" s="104">
        <f>'EMPLOYEE9'!AI23</f>
        <v/>
      </c>
      <c r="K31" s="104">
        <f>'EMPLOYEE9'!AJ23</f>
        <v/>
      </c>
      <c r="L31" s="104">
        <f>'EMPLOYEE9'!AK23</f>
        <v/>
      </c>
      <c r="M31" s="104">
        <f>'EMPLOYEE9'!AL23</f>
        <v/>
      </c>
      <c r="N31" s="104">
        <f>'EMPLOYEE9'!AM23</f>
        <v/>
      </c>
      <c r="O31" s="105">
        <f>IF(D31=0,"Set allotment",IF(F31&gt;=1,"Over",IF(F31&gt;=0.8,"Running low","On track")))</f>
        <v/>
      </c>
      <c r="P31" s="98">
        <f>F31+(100-ROW())/100000</f>
        <v/>
      </c>
      <c r="Q31" s="99">
        <f>N('EMPLOYEE9'!D7)</f>
        <v/>
      </c>
      <c r="R31" s="99">
        <f>'EMPLOYEE9'!AH23</f>
        <v/>
      </c>
    </row>
    <row r="32">
      <c r="A32" s="82" t="n"/>
      <c r="B32" s="87">
        <f>'EMPLOYEE10'!A2</f>
        <v/>
      </c>
      <c r="C32" s="100">
        <f>'EMPLOYEE10'!AI23+'EMPLOYEE10'!AJ23</f>
        <v/>
      </c>
      <c r="D32" s="100">
        <f>N('EMPLOYEE10'!D5)+N('EMPLOYEE10'!D6)</f>
        <v/>
      </c>
      <c r="E32" s="101">
        <f>REPT("█",ROUND(MIN(1,F32)*20,0))&amp;REPT("░",20-ROUND(MIN(1,F32)*20,0))</f>
        <v/>
      </c>
      <c r="F32" s="102">
        <f>IF(D32=0,0,C32/D32)</f>
        <v/>
      </c>
      <c r="G32" s="100">
        <f>IF(D32=0,"—",D32-C32)</f>
        <v/>
      </c>
      <c r="H32" s="100">
        <f>SUM(INDEX('EMPLOYEE10'!$AI$11:$AM$22,MONTH(TODAY()),0))</f>
        <v/>
      </c>
      <c r="I32" s="103">
        <f>R32&amp;" of "&amp;Q32</f>
        <v/>
      </c>
      <c r="J32" s="104">
        <f>'EMPLOYEE10'!AI23</f>
        <v/>
      </c>
      <c r="K32" s="104">
        <f>'EMPLOYEE10'!AJ23</f>
        <v/>
      </c>
      <c r="L32" s="104">
        <f>'EMPLOYEE10'!AK23</f>
        <v/>
      </c>
      <c r="M32" s="104">
        <f>'EMPLOYEE10'!AL23</f>
        <v/>
      </c>
      <c r="N32" s="104">
        <f>'EMPLOYEE10'!AM23</f>
        <v/>
      </c>
      <c r="O32" s="105">
        <f>IF(D32=0,"Set allotment",IF(F32&gt;=1,"Over",IF(F32&gt;=0.8,"Running low","On track")))</f>
        <v/>
      </c>
      <c r="P32" s="98">
        <f>F32+(100-ROW())/100000</f>
        <v/>
      </c>
      <c r="Q32" s="99">
        <f>N('EMPLOYEE10'!D7)</f>
        <v/>
      </c>
      <c r="R32" s="99">
        <f>'EMPLOYEE10'!AH23</f>
        <v/>
      </c>
    </row>
    <row r="33">
      <c r="A33" s="82" t="n"/>
      <c r="B33" s="87">
        <f>'EMPLOYEE11'!A2</f>
        <v/>
      </c>
      <c r="C33" s="100">
        <f>'EMPLOYEE11'!AI23+'EMPLOYEE11'!AJ23</f>
        <v/>
      </c>
      <c r="D33" s="100">
        <f>N('EMPLOYEE11'!D5)+N('EMPLOYEE11'!D6)</f>
        <v/>
      </c>
      <c r="E33" s="101">
        <f>REPT("█",ROUND(MIN(1,F33)*20,0))&amp;REPT("░",20-ROUND(MIN(1,F33)*20,0))</f>
        <v/>
      </c>
      <c r="F33" s="102">
        <f>IF(D33=0,0,C33/D33)</f>
        <v/>
      </c>
      <c r="G33" s="100">
        <f>IF(D33=0,"—",D33-C33)</f>
        <v/>
      </c>
      <c r="H33" s="100">
        <f>SUM(INDEX('EMPLOYEE11'!$AI$11:$AM$22,MONTH(TODAY()),0))</f>
        <v/>
      </c>
      <c r="I33" s="103">
        <f>R33&amp;" of "&amp;Q33</f>
        <v/>
      </c>
      <c r="J33" s="104">
        <f>'EMPLOYEE11'!AI23</f>
        <v/>
      </c>
      <c r="K33" s="104">
        <f>'EMPLOYEE11'!AJ23</f>
        <v/>
      </c>
      <c r="L33" s="104">
        <f>'EMPLOYEE11'!AK23</f>
        <v/>
      </c>
      <c r="M33" s="104">
        <f>'EMPLOYEE11'!AL23</f>
        <v/>
      </c>
      <c r="N33" s="104">
        <f>'EMPLOYEE11'!AM23</f>
        <v/>
      </c>
      <c r="O33" s="105">
        <f>IF(D33=0,"Set allotment",IF(F33&gt;=1,"Over",IF(F33&gt;=0.8,"Running low","On track")))</f>
        <v/>
      </c>
      <c r="P33" s="98">
        <f>F33+(100-ROW())/100000</f>
        <v/>
      </c>
      <c r="Q33" s="99">
        <f>N('EMPLOYEE11'!D7)</f>
        <v/>
      </c>
      <c r="R33" s="99">
        <f>'EMPLOYEE11'!AH23</f>
        <v/>
      </c>
    </row>
    <row r="34">
      <c r="A34" s="82" t="n"/>
      <c r="B34" s="87">
        <f>'EMPLOYEE12'!A2</f>
        <v/>
      </c>
      <c r="C34" s="100">
        <f>'EMPLOYEE12'!AI23+'EMPLOYEE12'!AJ23</f>
        <v/>
      </c>
      <c r="D34" s="100">
        <f>N('EMPLOYEE12'!D5)+N('EMPLOYEE12'!D6)</f>
        <v/>
      </c>
      <c r="E34" s="101">
        <f>REPT("█",ROUND(MIN(1,F34)*20,0))&amp;REPT("░",20-ROUND(MIN(1,F34)*20,0))</f>
        <v/>
      </c>
      <c r="F34" s="102">
        <f>IF(D34=0,0,C34/D34)</f>
        <v/>
      </c>
      <c r="G34" s="100">
        <f>IF(D34=0,"—",D34-C34)</f>
        <v/>
      </c>
      <c r="H34" s="100">
        <f>SUM(INDEX('EMPLOYEE12'!$AI$11:$AM$22,MONTH(TODAY()),0))</f>
        <v/>
      </c>
      <c r="I34" s="103">
        <f>R34&amp;" of "&amp;Q34</f>
        <v/>
      </c>
      <c r="J34" s="104">
        <f>'EMPLOYEE12'!AI23</f>
        <v/>
      </c>
      <c r="K34" s="104">
        <f>'EMPLOYEE12'!AJ23</f>
        <v/>
      </c>
      <c r="L34" s="104">
        <f>'EMPLOYEE12'!AK23</f>
        <v/>
      </c>
      <c r="M34" s="104">
        <f>'EMPLOYEE12'!AL23</f>
        <v/>
      </c>
      <c r="N34" s="104">
        <f>'EMPLOYEE12'!AM23</f>
        <v/>
      </c>
      <c r="O34" s="105">
        <f>IF(D34=0,"Set allotment",IF(F34&gt;=1,"Over",IF(F34&gt;=0.8,"Running low","On track")))</f>
        <v/>
      </c>
      <c r="P34" s="98">
        <f>F34+(100-ROW())/100000</f>
        <v/>
      </c>
      <c r="Q34" s="99">
        <f>N('EMPLOYEE12'!D7)</f>
        <v/>
      </c>
      <c r="R34" s="99">
        <f>'EMPLOYEE12'!AH23</f>
        <v/>
      </c>
    </row>
    <row r="35">
      <c r="A35" s="82" t="n"/>
      <c r="B35" s="87">
        <f>'EMPLOYEE13'!A2</f>
        <v/>
      </c>
      <c r="C35" s="100">
        <f>'EMPLOYEE13'!AI23+'EMPLOYEE13'!AJ23</f>
        <v/>
      </c>
      <c r="D35" s="100">
        <f>N('EMPLOYEE13'!D5)+N('EMPLOYEE13'!D6)</f>
        <v/>
      </c>
      <c r="E35" s="101">
        <f>REPT("█",ROUND(MIN(1,F35)*20,0))&amp;REPT("░",20-ROUND(MIN(1,F35)*20,0))</f>
        <v/>
      </c>
      <c r="F35" s="102">
        <f>IF(D35=0,0,C35/D35)</f>
        <v/>
      </c>
      <c r="G35" s="100">
        <f>IF(D35=0,"—",D35-C35)</f>
        <v/>
      </c>
      <c r="H35" s="100">
        <f>SUM(INDEX('EMPLOYEE13'!$AI$11:$AM$22,MONTH(TODAY()),0))</f>
        <v/>
      </c>
      <c r="I35" s="103">
        <f>R35&amp;" of "&amp;Q35</f>
        <v/>
      </c>
      <c r="J35" s="104">
        <f>'EMPLOYEE13'!AI23</f>
        <v/>
      </c>
      <c r="K35" s="104">
        <f>'EMPLOYEE13'!AJ23</f>
        <v/>
      </c>
      <c r="L35" s="104">
        <f>'EMPLOYEE13'!AK23</f>
        <v/>
      </c>
      <c r="M35" s="104">
        <f>'EMPLOYEE13'!AL23</f>
        <v/>
      </c>
      <c r="N35" s="104">
        <f>'EMPLOYEE13'!AM23</f>
        <v/>
      </c>
      <c r="O35" s="105">
        <f>IF(D35=0,"Set allotment",IF(F35&gt;=1,"Over",IF(F35&gt;=0.8,"Running low","On track")))</f>
        <v/>
      </c>
      <c r="P35" s="98">
        <f>F35+(100-ROW())/100000</f>
        <v/>
      </c>
      <c r="Q35" s="99">
        <f>N('EMPLOYEE13'!D7)</f>
        <v/>
      </c>
      <c r="R35" s="99">
        <f>'EMPLOYEE13'!AH23</f>
        <v/>
      </c>
    </row>
    <row r="36">
      <c r="A36" s="82" t="n"/>
      <c r="B36" s="87">
        <f>'EMPLOYEE14'!A2</f>
        <v/>
      </c>
      <c r="C36" s="100">
        <f>'EMPLOYEE14'!AI23+'EMPLOYEE14'!AJ23</f>
        <v/>
      </c>
      <c r="D36" s="100">
        <f>N('EMPLOYEE14'!D5)+N('EMPLOYEE14'!D6)</f>
        <v/>
      </c>
      <c r="E36" s="101">
        <f>REPT("█",ROUND(MIN(1,F36)*20,0))&amp;REPT("░",20-ROUND(MIN(1,F36)*20,0))</f>
        <v/>
      </c>
      <c r="F36" s="102">
        <f>IF(D36=0,0,C36/D36)</f>
        <v/>
      </c>
      <c r="G36" s="100">
        <f>IF(D36=0,"—",D36-C36)</f>
        <v/>
      </c>
      <c r="H36" s="100">
        <f>SUM(INDEX('EMPLOYEE14'!$AI$11:$AM$22,MONTH(TODAY()),0))</f>
        <v/>
      </c>
      <c r="I36" s="103">
        <f>R36&amp;" of "&amp;Q36</f>
        <v/>
      </c>
      <c r="J36" s="104">
        <f>'EMPLOYEE14'!AI23</f>
        <v/>
      </c>
      <c r="K36" s="104">
        <f>'EMPLOYEE14'!AJ23</f>
        <v/>
      </c>
      <c r="L36" s="104">
        <f>'EMPLOYEE14'!AK23</f>
        <v/>
      </c>
      <c r="M36" s="104">
        <f>'EMPLOYEE14'!AL23</f>
        <v/>
      </c>
      <c r="N36" s="104">
        <f>'EMPLOYEE14'!AM23</f>
        <v/>
      </c>
      <c r="O36" s="105">
        <f>IF(D36=0,"Set allotment",IF(F36&gt;=1,"Over",IF(F36&gt;=0.8,"Running low","On track")))</f>
        <v/>
      </c>
      <c r="P36" s="98">
        <f>F36+(100-ROW())/100000</f>
        <v/>
      </c>
      <c r="Q36" s="99">
        <f>N('EMPLOYEE14'!D7)</f>
        <v/>
      </c>
      <c r="R36" s="99">
        <f>'EMPLOYEE14'!AH23</f>
        <v/>
      </c>
    </row>
    <row r="37">
      <c r="A37" s="82" t="n"/>
      <c r="B37" s="87">
        <f>'EMPLOYEE15'!A2</f>
        <v/>
      </c>
      <c r="C37" s="100">
        <f>'EMPLOYEE15'!AI23+'EMPLOYEE15'!AJ23</f>
        <v/>
      </c>
      <c r="D37" s="100">
        <f>N('EMPLOYEE15'!D5)+N('EMPLOYEE15'!D6)</f>
        <v/>
      </c>
      <c r="E37" s="101">
        <f>REPT("█",ROUND(MIN(1,F37)*20,0))&amp;REPT("░",20-ROUND(MIN(1,F37)*20,0))</f>
        <v/>
      </c>
      <c r="F37" s="102">
        <f>IF(D37=0,0,C37/D37)</f>
        <v/>
      </c>
      <c r="G37" s="100">
        <f>IF(D37=0,"—",D37-C37)</f>
        <v/>
      </c>
      <c r="H37" s="100">
        <f>SUM(INDEX('EMPLOYEE15'!$AI$11:$AM$22,MONTH(TODAY()),0))</f>
        <v/>
      </c>
      <c r="I37" s="103">
        <f>R37&amp;" of "&amp;Q37</f>
        <v/>
      </c>
      <c r="J37" s="104">
        <f>'EMPLOYEE15'!AI23</f>
        <v/>
      </c>
      <c r="K37" s="104">
        <f>'EMPLOYEE15'!AJ23</f>
        <v/>
      </c>
      <c r="L37" s="104">
        <f>'EMPLOYEE15'!AK23</f>
        <v/>
      </c>
      <c r="M37" s="104">
        <f>'EMPLOYEE15'!AL23</f>
        <v/>
      </c>
      <c r="N37" s="104">
        <f>'EMPLOYEE15'!AM23</f>
        <v/>
      </c>
      <c r="O37" s="105">
        <f>IF(D37=0,"Set allotment",IF(F37&gt;=1,"Over",IF(F37&gt;=0.8,"Running low","On track")))</f>
        <v/>
      </c>
      <c r="P37" s="98">
        <f>F37+(100-ROW())/100000</f>
        <v/>
      </c>
      <c r="Q37" s="99">
        <f>N('EMPLOYEE15'!D7)</f>
        <v/>
      </c>
      <c r="R37" s="99">
        <f>'EMPLOYEE15'!AH23</f>
        <v/>
      </c>
    </row>
    <row r="38">
      <c r="A38" s="82" t="n"/>
      <c r="B38" s="87">
        <f>'EMPLOYEE16'!A2</f>
        <v/>
      </c>
      <c r="C38" s="100">
        <f>'EMPLOYEE16'!AI23+'EMPLOYEE16'!AJ23</f>
        <v/>
      </c>
      <c r="D38" s="100">
        <f>N('EMPLOYEE16'!D5)+N('EMPLOYEE16'!D6)</f>
        <v/>
      </c>
      <c r="E38" s="101">
        <f>REPT("█",ROUND(MIN(1,F38)*20,0))&amp;REPT("░",20-ROUND(MIN(1,F38)*20,0))</f>
        <v/>
      </c>
      <c r="F38" s="102">
        <f>IF(D38=0,0,C38/D38)</f>
        <v/>
      </c>
      <c r="G38" s="100">
        <f>IF(D38=0,"—",D38-C38)</f>
        <v/>
      </c>
      <c r="H38" s="100">
        <f>SUM(INDEX('EMPLOYEE16'!$AI$11:$AM$22,MONTH(TODAY()),0))</f>
        <v/>
      </c>
      <c r="I38" s="103">
        <f>R38&amp;" of "&amp;Q38</f>
        <v/>
      </c>
      <c r="J38" s="104">
        <f>'EMPLOYEE16'!AI23</f>
        <v/>
      </c>
      <c r="K38" s="104">
        <f>'EMPLOYEE16'!AJ23</f>
        <v/>
      </c>
      <c r="L38" s="104">
        <f>'EMPLOYEE16'!AK23</f>
        <v/>
      </c>
      <c r="M38" s="104">
        <f>'EMPLOYEE16'!AL23</f>
        <v/>
      </c>
      <c r="N38" s="104">
        <f>'EMPLOYEE16'!AM23</f>
        <v/>
      </c>
      <c r="O38" s="105">
        <f>IF(D38=0,"Set allotment",IF(F38&gt;=1,"Over",IF(F38&gt;=0.8,"Running low","On track")))</f>
        <v/>
      </c>
      <c r="P38" s="98">
        <f>F38+(100-ROW())/100000</f>
        <v/>
      </c>
      <c r="Q38" s="99">
        <f>N('EMPLOYEE16'!D7)</f>
        <v/>
      </c>
      <c r="R38" s="99">
        <f>'EMPLOYEE16'!AH23</f>
        <v/>
      </c>
    </row>
    <row r="39">
      <c r="A39" s="82" t="n"/>
      <c r="B39" s="87">
        <f>'EMPLOYEE17'!A2</f>
        <v/>
      </c>
      <c r="C39" s="100">
        <f>'EMPLOYEE17'!AI23+'EMPLOYEE17'!AJ23</f>
        <v/>
      </c>
      <c r="D39" s="100">
        <f>N('EMPLOYEE17'!D5)+N('EMPLOYEE17'!D6)</f>
        <v/>
      </c>
      <c r="E39" s="101">
        <f>REPT("█",ROUND(MIN(1,F39)*20,0))&amp;REPT("░",20-ROUND(MIN(1,F39)*20,0))</f>
        <v/>
      </c>
      <c r="F39" s="102">
        <f>IF(D39=0,0,C39/D39)</f>
        <v/>
      </c>
      <c r="G39" s="100">
        <f>IF(D39=0,"—",D39-C39)</f>
        <v/>
      </c>
      <c r="H39" s="100">
        <f>SUM(INDEX('EMPLOYEE17'!$AI$11:$AM$22,MONTH(TODAY()),0))</f>
        <v/>
      </c>
      <c r="I39" s="103">
        <f>R39&amp;" of "&amp;Q39</f>
        <v/>
      </c>
      <c r="J39" s="104">
        <f>'EMPLOYEE17'!AI23</f>
        <v/>
      </c>
      <c r="K39" s="104">
        <f>'EMPLOYEE17'!AJ23</f>
        <v/>
      </c>
      <c r="L39" s="104">
        <f>'EMPLOYEE17'!AK23</f>
        <v/>
      </c>
      <c r="M39" s="104">
        <f>'EMPLOYEE17'!AL23</f>
        <v/>
      </c>
      <c r="N39" s="104">
        <f>'EMPLOYEE17'!AM23</f>
        <v/>
      </c>
      <c r="O39" s="105">
        <f>IF(D39=0,"Set allotment",IF(F39&gt;=1,"Over",IF(F39&gt;=0.8,"Running low","On track")))</f>
        <v/>
      </c>
      <c r="P39" s="98">
        <f>F39+(100-ROW())/100000</f>
        <v/>
      </c>
      <c r="Q39" s="99">
        <f>N('EMPLOYEE17'!D7)</f>
        <v/>
      </c>
      <c r="R39" s="99">
        <f>'EMPLOYEE17'!AH23</f>
        <v/>
      </c>
    </row>
    <row r="40">
      <c r="A40" s="82" t="n"/>
      <c r="B40" s="87">
        <f>'EMPLOYEE18'!A2</f>
        <v/>
      </c>
      <c r="C40" s="100">
        <f>'EMPLOYEE18'!AI23+'EMPLOYEE18'!AJ23</f>
        <v/>
      </c>
      <c r="D40" s="100">
        <f>N('EMPLOYEE18'!D5)+N('EMPLOYEE18'!D6)</f>
        <v/>
      </c>
      <c r="E40" s="101">
        <f>REPT("█",ROUND(MIN(1,F40)*20,0))&amp;REPT("░",20-ROUND(MIN(1,F40)*20,0))</f>
        <v/>
      </c>
      <c r="F40" s="102">
        <f>IF(D40=0,0,C40/D40)</f>
        <v/>
      </c>
      <c r="G40" s="100">
        <f>IF(D40=0,"—",D40-C40)</f>
        <v/>
      </c>
      <c r="H40" s="100">
        <f>SUM(INDEX('EMPLOYEE18'!$AI$11:$AM$22,MONTH(TODAY()),0))</f>
        <v/>
      </c>
      <c r="I40" s="103">
        <f>R40&amp;" of "&amp;Q40</f>
        <v/>
      </c>
      <c r="J40" s="104">
        <f>'EMPLOYEE18'!AI23</f>
        <v/>
      </c>
      <c r="K40" s="104">
        <f>'EMPLOYEE18'!AJ23</f>
        <v/>
      </c>
      <c r="L40" s="104">
        <f>'EMPLOYEE18'!AK23</f>
        <v/>
      </c>
      <c r="M40" s="104">
        <f>'EMPLOYEE18'!AL23</f>
        <v/>
      </c>
      <c r="N40" s="104">
        <f>'EMPLOYEE18'!AM23</f>
        <v/>
      </c>
      <c r="O40" s="105">
        <f>IF(D40=0,"Set allotment",IF(F40&gt;=1,"Over",IF(F40&gt;=0.8,"Running low","On track")))</f>
        <v/>
      </c>
      <c r="P40" s="98">
        <f>F40+(100-ROW())/100000</f>
        <v/>
      </c>
      <c r="Q40" s="99">
        <f>N('EMPLOYEE18'!D7)</f>
        <v/>
      </c>
      <c r="R40" s="99">
        <f>'EMPLOYEE18'!AH23</f>
        <v/>
      </c>
    </row>
    <row r="41">
      <c r="A41" s="82" t="n"/>
      <c r="B41" s="87">
        <f>'EMPLOYEE19'!A2</f>
        <v/>
      </c>
      <c r="C41" s="100">
        <f>'EMPLOYEE19'!AI23+'EMPLOYEE19'!AJ23</f>
        <v/>
      </c>
      <c r="D41" s="100">
        <f>N('EMPLOYEE19'!D5)+N('EMPLOYEE19'!D6)</f>
        <v/>
      </c>
      <c r="E41" s="101">
        <f>REPT("█",ROUND(MIN(1,F41)*20,0))&amp;REPT("░",20-ROUND(MIN(1,F41)*20,0))</f>
        <v/>
      </c>
      <c r="F41" s="102">
        <f>IF(D41=0,0,C41/D41)</f>
        <v/>
      </c>
      <c r="G41" s="100">
        <f>IF(D41=0,"—",D41-C41)</f>
        <v/>
      </c>
      <c r="H41" s="100">
        <f>SUM(INDEX('EMPLOYEE19'!$AI$11:$AM$22,MONTH(TODAY()),0))</f>
        <v/>
      </c>
      <c r="I41" s="103">
        <f>R41&amp;" of "&amp;Q41</f>
        <v/>
      </c>
      <c r="J41" s="104">
        <f>'EMPLOYEE19'!AI23</f>
        <v/>
      </c>
      <c r="K41" s="104">
        <f>'EMPLOYEE19'!AJ23</f>
        <v/>
      </c>
      <c r="L41" s="104">
        <f>'EMPLOYEE19'!AK23</f>
        <v/>
      </c>
      <c r="M41" s="104">
        <f>'EMPLOYEE19'!AL23</f>
        <v/>
      </c>
      <c r="N41" s="104">
        <f>'EMPLOYEE19'!AM23</f>
        <v/>
      </c>
      <c r="O41" s="105">
        <f>IF(D41=0,"Set allotment",IF(F41&gt;=1,"Over",IF(F41&gt;=0.8,"Running low","On track")))</f>
        <v/>
      </c>
      <c r="P41" s="98">
        <f>F41+(100-ROW())/100000</f>
        <v/>
      </c>
      <c r="Q41" s="99">
        <f>N('EMPLOYEE19'!D7)</f>
        <v/>
      </c>
      <c r="R41" s="99">
        <f>'EMPLOYEE19'!AH23</f>
        <v/>
      </c>
    </row>
    <row r="42">
      <c r="A42" s="82" t="n"/>
      <c r="B42" s="87">
        <f>'EMPLOYEE20'!A2</f>
        <v/>
      </c>
      <c r="C42" s="100">
        <f>'EMPLOYEE20'!AI23+'EMPLOYEE20'!AJ23</f>
        <v/>
      </c>
      <c r="D42" s="100">
        <f>N('EMPLOYEE20'!D5)+N('EMPLOYEE20'!D6)</f>
        <v/>
      </c>
      <c r="E42" s="101">
        <f>REPT("█",ROUND(MIN(1,F42)*20,0))&amp;REPT("░",20-ROUND(MIN(1,F42)*20,0))</f>
        <v/>
      </c>
      <c r="F42" s="102">
        <f>IF(D42=0,0,C42/D42)</f>
        <v/>
      </c>
      <c r="G42" s="100">
        <f>IF(D42=0,"—",D42-C42)</f>
        <v/>
      </c>
      <c r="H42" s="100">
        <f>SUM(INDEX('EMPLOYEE20'!$AI$11:$AM$22,MONTH(TODAY()),0))</f>
        <v/>
      </c>
      <c r="I42" s="103">
        <f>R42&amp;" of "&amp;Q42</f>
        <v/>
      </c>
      <c r="J42" s="104">
        <f>'EMPLOYEE20'!AI23</f>
        <v/>
      </c>
      <c r="K42" s="104">
        <f>'EMPLOYEE20'!AJ23</f>
        <v/>
      </c>
      <c r="L42" s="104">
        <f>'EMPLOYEE20'!AK23</f>
        <v/>
      </c>
      <c r="M42" s="104">
        <f>'EMPLOYEE20'!AL23</f>
        <v/>
      </c>
      <c r="N42" s="104">
        <f>'EMPLOYEE20'!AM23</f>
        <v/>
      </c>
      <c r="O42" s="105">
        <f>IF(D42=0,"Set allotment",IF(F42&gt;=1,"Over",IF(F42&gt;=0.8,"Running low","On track")))</f>
        <v/>
      </c>
      <c r="P42" s="98">
        <f>F42+(100-ROW())/100000</f>
        <v/>
      </c>
      <c r="Q42" s="99">
        <f>N('EMPLOYEE20'!D7)</f>
        <v/>
      </c>
      <c r="R42" s="99">
        <f>'EMPLOYEE20'!AH23</f>
        <v/>
      </c>
    </row>
    <row r="43">
      <c r="A43" s="82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2" t="n"/>
    </row>
    <row r="44">
      <c r="A44" s="82" t="n"/>
      <c r="B44" s="106" t="inlineStr">
        <is>
          <t>Allotments and names come from each employee's tab (cells A2, D5, D6, D7). Days come from the calendar codes on those tabs.</t>
        </is>
      </c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M44" s="82" t="n"/>
      <c r="N44" s="82" t="n"/>
      <c r="O44" s="82" t="n"/>
      <c r="P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M45" s="82" t="n"/>
      <c r="N45" s="82" t="n"/>
      <c r="O45" s="82" t="n"/>
      <c r="P45" s="82" t="n"/>
    </row>
  </sheetData>
  <mergeCells count="5">
    <mergeCell ref="B9:O9"/>
    <mergeCell ref="I5:N5"/>
    <mergeCell ref="I17:O17"/>
    <mergeCell ref="B6:O6"/>
    <mergeCell ref="I8:N8"/>
  </mergeCells>
  <conditionalFormatting sqref="E23:E42">
    <cfRule type="expression" priority="1" dxfId="634">
      <formula>$F23&gt;=1</formula>
    </cfRule>
    <cfRule type="expression" priority="2" dxfId="635">
      <formula>$F23&gt;=0.8</formula>
    </cfRule>
  </conditionalFormatting>
  <conditionalFormatting sqref="O23:O42">
    <cfRule type="expression" priority="3" dxfId="636">
      <formula>$O23="Over"</formula>
    </cfRule>
    <cfRule type="expression" priority="4" dxfId="637">
      <formula>$O23="Running low"</formula>
    </cfRule>
    <cfRule type="expression" priority="5" dxfId="638">
      <formula>$O23="On track"</formula>
    </cfRule>
    <cfRule type="expression" priority="6" dxfId="639">
      <formula>$O23="Set allotment"</formula>
    </cfRule>
  </conditionalFormatting>
  <conditionalFormatting sqref="B6">
    <cfRule type="expression" priority="7" dxfId="635">
      <formula>$O$5&gt;=0.8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F21" sqref="F21"/>
    </sheetView>
  </sheetViews>
  <sheetFormatPr baseColWidth="8" defaultColWidth="8.88671875" defaultRowHeight="14.4"/>
  <cols>
    <col width="12.5546875" bestFit="1" customWidth="1" style="81" min="1" max="1"/>
    <col width="15.6640625" bestFit="1" customWidth="1" style="81" min="2" max="2"/>
    <col width="16.109375" customWidth="1" style="81" min="3" max="3"/>
    <col width="13.33203125" bestFit="1" customWidth="1" style="81" min="4" max="4"/>
    <col width="10.33203125" bestFit="1" customWidth="1" style="81" min="5" max="5"/>
    <col width="7.33203125" bestFit="1" customWidth="1" style="81" min="6" max="6"/>
    <col width="14.88671875" bestFit="1" customWidth="1" style="81" min="7" max="7"/>
    <col hidden="1" width="29.6640625" customWidth="1" style="81" min="8" max="8"/>
    <col hidden="1" width="7.33203125" customWidth="1" style="81" min="9" max="9"/>
    <col width="8.88671875" customWidth="1" style="81" min="10" max="16384"/>
  </cols>
  <sheetData>
    <row r="1" ht="18" customHeight="1">
      <c r="A1" s="78" t="inlineStr">
        <is>
          <t>2026 Attendance Summary</t>
        </is>
      </c>
    </row>
    <row r="2">
      <c r="A2" s="80" t="inlineStr">
        <is>
          <t>% of Annual Allotment Used/Planned</t>
        </is>
      </c>
    </row>
    <row r="3" ht="15" customHeight="1" thickBot="1"/>
    <row r="4" customFormat="1" s="2">
      <c r="A4" s="47" t="inlineStr">
        <is>
          <t>Employee</t>
        </is>
      </c>
      <c r="B4" s="46" t="inlineStr">
        <is>
          <t>Category</t>
        </is>
      </c>
      <c r="C4" s="46" t="inlineStr">
        <is>
          <t>Annual Allotment</t>
        </is>
      </c>
      <c r="D4" s="46" t="inlineStr">
        <is>
          <t>Used/Planned</t>
        </is>
      </c>
      <c r="E4" s="46" t="inlineStr">
        <is>
          <t>Remaining</t>
        </is>
      </c>
      <c r="F4" s="58" t="inlineStr">
        <is>
          <t>% Used</t>
        </is>
      </c>
      <c r="H4" s="35" t="inlineStr">
        <is>
          <t>Label</t>
        </is>
      </c>
      <c r="I4" s="35" t="inlineStr">
        <is>
          <t>% Used</t>
        </is>
      </c>
    </row>
    <row r="5" customFormat="1" s="2">
      <c r="A5" s="33" t="inlineStr">
        <is>
          <t>EMPLOYEE1</t>
        </is>
      </c>
      <c r="B5" s="34" t="inlineStr">
        <is>
          <t>PTO (incl. Banked)</t>
        </is>
      </c>
      <c r="C5" s="34">
        <f>EMPLOYEE1!D5+EMPLOYEE1!D6</f>
        <v/>
      </c>
      <c r="D5" s="34">
        <f>EMPLOYEE1!AI23+EMPLOYEE1!AJ23</f>
        <v/>
      </c>
      <c r="E5" s="34">
        <f>C5-D5</f>
        <v/>
      </c>
      <c r="F5" s="59">
        <f>IF(C5=0,0,D5/C5)</f>
        <v/>
      </c>
      <c r="H5">
        <f>A5&amp;" - "&amp;B5</f>
        <v/>
      </c>
      <c r="I5">
        <f>F5</f>
        <v/>
      </c>
    </row>
    <row r="6" customFormat="1" s="2">
      <c r="A6" s="33" t="inlineStr">
        <is>
          <t>EMPLOYEE1</t>
        </is>
      </c>
      <c r="B6" s="34" t="inlineStr">
        <is>
          <t>Holiday</t>
        </is>
      </c>
      <c r="C6" s="34">
        <f>EMPLOYEE1!D7</f>
        <v/>
      </c>
      <c r="D6" s="34">
        <f>EMPLOYEE1!AH23</f>
        <v/>
      </c>
      <c r="E6" s="34">
        <f>C6-D6</f>
        <v/>
      </c>
      <c r="F6" s="59">
        <f>IF(C6=0,0,D6/C6)</f>
        <v/>
      </c>
      <c r="H6">
        <f>A6&amp;" - "&amp;B6</f>
        <v/>
      </c>
      <c r="I6">
        <f>F6</f>
        <v/>
      </c>
    </row>
    <row r="7" customFormat="1" s="2">
      <c r="A7" s="48" t="inlineStr">
        <is>
          <t>EMPLOYEE2</t>
        </is>
      </c>
      <c r="B7" s="36" t="inlineStr">
        <is>
          <t>PTO (incl. Banked)</t>
        </is>
      </c>
      <c r="C7" s="36">
        <f>EMPLOYEE2!D5+EMPLOYEE2!D6</f>
        <v/>
      </c>
      <c r="D7" s="36">
        <f>EMPLOYEE2!AI23+EMPLOYEE2!AJ23</f>
        <v/>
      </c>
      <c r="E7" s="36">
        <f>C7-D7</f>
        <v/>
      </c>
      <c r="F7" s="60">
        <f>IF(C7=0,0,D7/C7)</f>
        <v/>
      </c>
      <c r="H7">
        <f>A7&amp;" - "&amp;B7</f>
        <v/>
      </c>
      <c r="I7">
        <f>F7</f>
        <v/>
      </c>
    </row>
    <row r="8" customFormat="1" s="2">
      <c r="A8" s="48" t="inlineStr">
        <is>
          <t>EMPLOYEE2</t>
        </is>
      </c>
      <c r="B8" s="36" t="inlineStr">
        <is>
          <t>Holiday</t>
        </is>
      </c>
      <c r="C8" s="36">
        <f>EMPLOYEE2!D7</f>
        <v/>
      </c>
      <c r="D8" s="36">
        <f>EMPLOYEE2!AH23</f>
        <v/>
      </c>
      <c r="E8" s="36">
        <f>C8-D8</f>
        <v/>
      </c>
      <c r="F8" s="60">
        <f>IF(C8=0,0,D8/C8)</f>
        <v/>
      </c>
      <c r="H8">
        <f>A8&amp;" - "&amp;B8</f>
        <v/>
      </c>
      <c r="I8">
        <f>F8</f>
        <v/>
      </c>
    </row>
    <row r="9" customFormat="1" s="2">
      <c r="A9" s="49" t="inlineStr">
        <is>
          <t>EMPLOYEE3</t>
        </is>
      </c>
      <c r="B9" s="37" t="inlineStr">
        <is>
          <t>PTO (incl. Banked)</t>
        </is>
      </c>
      <c r="C9" s="37">
        <f>EMPLOYEE3!D5+EMPLOYEE3!D6</f>
        <v/>
      </c>
      <c r="D9" s="37">
        <f>EMPLOYEE3!AI23+EMPLOYEE3!AJ23</f>
        <v/>
      </c>
      <c r="E9" s="37">
        <f>C9-D9</f>
        <v/>
      </c>
      <c r="F9" s="61">
        <f>IF(C9=0,0,D9/C9)</f>
        <v/>
      </c>
      <c r="H9">
        <f>A9&amp;" - "&amp;B9</f>
        <v/>
      </c>
      <c r="I9">
        <f>F9</f>
        <v/>
      </c>
    </row>
    <row r="10" customFormat="1" s="2">
      <c r="A10" s="49" t="inlineStr">
        <is>
          <t>EMPLOYEE3</t>
        </is>
      </c>
      <c r="B10" s="37" t="inlineStr">
        <is>
          <t>Holiday</t>
        </is>
      </c>
      <c r="C10" s="37">
        <f>EMPLOYEE3!D7</f>
        <v/>
      </c>
      <c r="D10" s="37">
        <f>EMPLOYEE3!AH23</f>
        <v/>
      </c>
      <c r="E10" s="37">
        <f>C10-D10</f>
        <v/>
      </c>
      <c r="F10" s="61">
        <f>IF(C10=0,0,D10/C10)</f>
        <v/>
      </c>
      <c r="H10">
        <f>A10&amp;" - "&amp;B10</f>
        <v/>
      </c>
      <c r="I10">
        <f>F10</f>
        <v/>
      </c>
    </row>
    <row r="11">
      <c r="A11" s="50" t="inlineStr">
        <is>
          <t>EMPLOYEE4</t>
        </is>
      </c>
      <c r="B11" s="38" t="inlineStr">
        <is>
          <t>PTO (incl. Banked)</t>
        </is>
      </c>
      <c r="C11" s="38">
        <f>EMPLOYEE4!D5+EMPLOYEE4!D6</f>
        <v/>
      </c>
      <c r="D11" s="38">
        <f>EMPLOYEE4!AI23+EMPLOYEE4!AJ23</f>
        <v/>
      </c>
      <c r="E11" s="38">
        <f>C11-D11</f>
        <v/>
      </c>
      <c r="F11" s="62">
        <f>IF(C11=0,0,D11/C11)</f>
        <v/>
      </c>
      <c r="H11">
        <f>A11&amp;" - "&amp;B11</f>
        <v/>
      </c>
      <c r="I11">
        <f>F11</f>
        <v/>
      </c>
    </row>
    <row r="12">
      <c r="A12" s="50" t="inlineStr">
        <is>
          <t>EMPLOYEE4</t>
        </is>
      </c>
      <c r="B12" s="38" t="inlineStr">
        <is>
          <t>Holiday</t>
        </is>
      </c>
      <c r="C12" s="38">
        <f>EMPLOYEE4!D7</f>
        <v/>
      </c>
      <c r="D12" s="38">
        <f>EMPLOYEE4!AH23</f>
        <v/>
      </c>
      <c r="E12" s="38">
        <f>C12-D12</f>
        <v/>
      </c>
      <c r="F12" s="62">
        <f>IF(C12=0,0,D12/C12)</f>
        <v/>
      </c>
      <c r="H12">
        <f>A12&amp;" - "&amp;B12</f>
        <v/>
      </c>
      <c r="I12">
        <f>F12</f>
        <v/>
      </c>
    </row>
    <row r="13">
      <c r="A13" s="51" t="inlineStr">
        <is>
          <t>EMPLOYEE5</t>
        </is>
      </c>
      <c r="B13" s="39" t="inlineStr">
        <is>
          <t>PTO (incl. Banked)</t>
        </is>
      </c>
      <c r="C13" s="39">
        <f>EMPLOYEE5!D5+EMPLOYEE5!D6</f>
        <v/>
      </c>
      <c r="D13" s="39">
        <f>EMPLOYEE5!AI23+EMPLOYEE5!AJ23</f>
        <v/>
      </c>
      <c r="E13" s="39">
        <f>C13-D13</f>
        <v/>
      </c>
      <c r="F13" s="63">
        <f>IF(C13=0,0,D13/C13)</f>
        <v/>
      </c>
      <c r="H13">
        <f>A13&amp;" - "&amp;B13</f>
        <v/>
      </c>
      <c r="I13">
        <f>F13</f>
        <v/>
      </c>
    </row>
    <row r="14">
      <c r="A14" s="51" t="inlineStr">
        <is>
          <t>EMPLOYEE5</t>
        </is>
      </c>
      <c r="B14" s="39" t="inlineStr">
        <is>
          <t>Holiday</t>
        </is>
      </c>
      <c r="C14" s="39">
        <f>EMPLOYEE5!D7</f>
        <v/>
      </c>
      <c r="D14" s="39">
        <f>EMPLOYEE5!AH23</f>
        <v/>
      </c>
      <c r="E14" s="39">
        <f>C14-D14</f>
        <v/>
      </c>
      <c r="F14" s="63">
        <f>IF(C14=0,0,D14/C14)</f>
        <v/>
      </c>
      <c r="H14">
        <f>A14&amp;" - "&amp;B14</f>
        <v/>
      </c>
      <c r="I14">
        <f>F14</f>
        <v/>
      </c>
    </row>
    <row r="15">
      <c r="A15" s="52" t="inlineStr">
        <is>
          <t>EMPLOYEE6</t>
        </is>
      </c>
      <c r="B15" s="40" t="inlineStr">
        <is>
          <t>PTO (incl. Banked)</t>
        </is>
      </c>
      <c r="C15" s="40">
        <f>EMPLOYEE6!D5+EMPLOYEE6!D6</f>
        <v/>
      </c>
      <c r="D15" s="40">
        <f>EMPLOYEE6!AI23+EMPLOYEE6!AJ23</f>
        <v/>
      </c>
      <c r="E15" s="40">
        <f>C15-D15</f>
        <v/>
      </c>
      <c r="F15" s="64">
        <f>IF(C15=0,0,D15/C15)</f>
        <v/>
      </c>
      <c r="H15">
        <f>A15&amp;" - "&amp;B15</f>
        <v/>
      </c>
      <c r="I15">
        <f>F15</f>
        <v/>
      </c>
    </row>
    <row r="16">
      <c r="A16" s="52" t="inlineStr">
        <is>
          <t>EMPLOYEE6</t>
        </is>
      </c>
      <c r="B16" s="40" t="inlineStr">
        <is>
          <t>Holiday</t>
        </is>
      </c>
      <c r="C16" s="40">
        <f>EMPLOYEE6!D7</f>
        <v/>
      </c>
      <c r="D16" s="40">
        <f>EMPLOYEE6!AH23</f>
        <v/>
      </c>
      <c r="E16" s="40">
        <f>C16-D16</f>
        <v/>
      </c>
      <c r="F16" s="64">
        <f>IF(C16=0,0,D16/C16)</f>
        <v/>
      </c>
      <c r="H16">
        <f>A16&amp;" - "&amp;B16</f>
        <v/>
      </c>
      <c r="I16">
        <f>F16</f>
        <v/>
      </c>
    </row>
    <row r="17">
      <c r="A17" s="53" t="inlineStr">
        <is>
          <t>EMPLOYEE7</t>
        </is>
      </c>
      <c r="B17" s="41" t="inlineStr">
        <is>
          <t>PTO (incl. Banked)</t>
        </is>
      </c>
      <c r="C17" s="41">
        <f>EMPLOYEE7!D5+EMPLOYEE7!D6</f>
        <v/>
      </c>
      <c r="D17" s="41">
        <f>EMPLOYEE7!AI23+EMPLOYEE7!AJ23</f>
        <v/>
      </c>
      <c r="E17" s="41">
        <f>C17-D17</f>
        <v/>
      </c>
      <c r="F17" s="65">
        <f>IF(C17=0,0,D17/C17)</f>
        <v/>
      </c>
      <c r="H17">
        <f>A17&amp;" - "&amp;B17</f>
        <v/>
      </c>
      <c r="I17">
        <f>F17</f>
        <v/>
      </c>
    </row>
    <row r="18">
      <c r="A18" s="53" t="inlineStr">
        <is>
          <t>EMPLOYEE7</t>
        </is>
      </c>
      <c r="B18" s="41" t="inlineStr">
        <is>
          <t>Holiday</t>
        </is>
      </c>
      <c r="C18" s="41">
        <f>EMPLOYEE7!D7</f>
        <v/>
      </c>
      <c r="D18" s="41">
        <f>EMPLOYEE7!AH23</f>
        <v/>
      </c>
      <c r="E18" s="41">
        <f>C18-D18</f>
        <v/>
      </c>
      <c r="F18" s="65">
        <f>IF(C18=0,0,D18/C18)</f>
        <v/>
      </c>
      <c r="H18">
        <f>A18&amp;" - "&amp;B18</f>
        <v/>
      </c>
      <c r="I18">
        <f>F18</f>
        <v/>
      </c>
    </row>
    <row r="19">
      <c r="A19" s="54" t="inlineStr">
        <is>
          <t>EMPLOYEE8</t>
        </is>
      </c>
      <c r="B19" s="42" t="inlineStr">
        <is>
          <t>PTO (incl. Banked)</t>
        </is>
      </c>
      <c r="C19" s="42">
        <f>EMPLOYEE8!D5+EMPLOYEE8!D6</f>
        <v/>
      </c>
      <c r="D19" s="42">
        <f>EMPLOYEE8!AI23+EMPLOYEE8!AJ23</f>
        <v/>
      </c>
      <c r="E19" s="42">
        <f>C19-D19</f>
        <v/>
      </c>
      <c r="F19" s="66">
        <f>IF(C19=0,0,D19/C19)</f>
        <v/>
      </c>
      <c r="H19">
        <f>A19&amp;" - "&amp;B19</f>
        <v/>
      </c>
      <c r="I19">
        <f>F19</f>
        <v/>
      </c>
    </row>
    <row r="20">
      <c r="A20" s="54" t="inlineStr">
        <is>
          <t>EMPLOYEE8</t>
        </is>
      </c>
      <c r="B20" s="42" t="inlineStr">
        <is>
          <t>Holiday</t>
        </is>
      </c>
      <c r="C20" s="42">
        <f>EMPLOYEE8!D7</f>
        <v/>
      </c>
      <c r="D20" s="42">
        <f>EMPLOYEE8!AH23</f>
        <v/>
      </c>
      <c r="E20" s="42">
        <f>C20-D20</f>
        <v/>
      </c>
      <c r="F20" s="66">
        <f>IF(C20=0,0,D20/C20)</f>
        <v/>
      </c>
      <c r="H20">
        <f>A20&amp;" - "&amp;B20</f>
        <v/>
      </c>
      <c r="I20">
        <f>F20</f>
        <v/>
      </c>
    </row>
    <row r="21">
      <c r="A21" s="55" t="inlineStr">
        <is>
          <t>EMPLOYEE9</t>
        </is>
      </c>
      <c r="B21" s="43" t="inlineStr">
        <is>
          <t>PTO (incl. Banked)</t>
        </is>
      </c>
      <c r="C21" s="43">
        <f>EMPLOYEE9!D5+EMPLOYEE9!D6</f>
        <v/>
      </c>
      <c r="D21" s="43">
        <f>EMPLOYEE9!AI23+EMPLOYEE9!AJ23</f>
        <v/>
      </c>
      <c r="E21" s="43">
        <f>C21-D21</f>
        <v/>
      </c>
      <c r="F21" s="67">
        <f>IF(C21=0,0,D21/C21)</f>
        <v/>
      </c>
      <c r="H21">
        <f>A21&amp;" - "&amp;B21</f>
        <v/>
      </c>
      <c r="I21">
        <f>F21</f>
        <v/>
      </c>
    </row>
    <row r="22">
      <c r="A22" s="55" t="inlineStr">
        <is>
          <t>EMPLOYEE9</t>
        </is>
      </c>
      <c r="B22" s="43" t="inlineStr">
        <is>
          <t>Holiday</t>
        </is>
      </c>
      <c r="C22" s="43">
        <f>EMPLOYEE9!D7</f>
        <v/>
      </c>
      <c r="D22" s="43">
        <f>EMPLOYEE9!AH23</f>
        <v/>
      </c>
      <c r="E22" s="43">
        <f>C22-D22</f>
        <v/>
      </c>
      <c r="F22" s="67">
        <f>IF(C22=0,0,D22/C22)</f>
        <v/>
      </c>
      <c r="H22">
        <f>A22&amp;" - "&amp;B22</f>
        <v/>
      </c>
      <c r="I22">
        <f>F22</f>
        <v/>
      </c>
    </row>
    <row r="23">
      <c r="A23" s="56" t="inlineStr">
        <is>
          <t>EMPLOYEE10</t>
        </is>
      </c>
      <c r="B23" s="44" t="inlineStr">
        <is>
          <t>PTO (incl. Banked)</t>
        </is>
      </c>
      <c r="C23" s="44">
        <f>EMPLOYEE10!D5+EMPLOYEE10!D6</f>
        <v/>
      </c>
      <c r="D23" s="44">
        <f>EMPLOYEE10!AI23+EMPLOYEE10!AJ23</f>
        <v/>
      </c>
      <c r="E23" s="44">
        <f>C23-D23</f>
        <v/>
      </c>
      <c r="F23" s="68">
        <f>IF(C23=0,0,D23/C23)</f>
        <v/>
      </c>
      <c r="H23">
        <f>A23&amp;" - "&amp;B23</f>
        <v/>
      </c>
      <c r="I23">
        <f>F23</f>
        <v/>
      </c>
    </row>
    <row r="24">
      <c r="A24" s="56" t="inlineStr">
        <is>
          <t>EMPLOYEE10</t>
        </is>
      </c>
      <c r="B24" s="44" t="inlineStr">
        <is>
          <t>Holiday</t>
        </is>
      </c>
      <c r="C24" s="44">
        <f>EMPLOYEE10!D7</f>
        <v/>
      </c>
      <c r="D24" s="44">
        <f>EMPLOYEE10!AH23</f>
        <v/>
      </c>
      <c r="E24" s="44">
        <f>C24-D24</f>
        <v/>
      </c>
      <c r="F24" s="68">
        <f>IF(C24=0,0,D24/C24)</f>
        <v/>
      </c>
      <c r="H24">
        <f>A24&amp;" - "&amp;B24</f>
        <v/>
      </c>
      <c r="I24">
        <f>F24</f>
        <v/>
      </c>
    </row>
    <row r="25">
      <c r="A25" s="33" t="inlineStr">
        <is>
          <t>EMPLOYEE11</t>
        </is>
      </c>
      <c r="B25" s="34" t="inlineStr">
        <is>
          <t>PTO (incl. Banked)</t>
        </is>
      </c>
      <c r="C25" s="34">
        <f>EMPLOYEE11!D5+EMPLOYEE11!D6</f>
        <v/>
      </c>
      <c r="D25" s="34">
        <f>EMPLOYEE11!AI23+EMPLOYEE11!AJ23</f>
        <v/>
      </c>
      <c r="E25" s="34">
        <f>C25-D25</f>
        <v/>
      </c>
      <c r="F25" s="59">
        <f>IF(C25=0,0,D25/C25)</f>
        <v/>
      </c>
      <c r="H25">
        <f>A25&amp;" - "&amp;B25</f>
        <v/>
      </c>
      <c r="I25">
        <f>F25</f>
        <v/>
      </c>
    </row>
    <row r="26">
      <c r="A26" s="33" t="inlineStr">
        <is>
          <t>EMPLOYEE11</t>
        </is>
      </c>
      <c r="B26" s="34" t="inlineStr">
        <is>
          <t>Holiday</t>
        </is>
      </c>
      <c r="C26" s="34">
        <f>EMPLOYEE11!D7</f>
        <v/>
      </c>
      <c r="D26" s="34">
        <f>EMPLOYEE11!AH23</f>
        <v/>
      </c>
      <c r="E26" s="34">
        <f>C26-D26</f>
        <v/>
      </c>
      <c r="F26" s="59">
        <f>IF(C26=0,0,D26/C26)</f>
        <v/>
      </c>
      <c r="H26">
        <f>A26&amp;" - "&amp;B26</f>
        <v/>
      </c>
      <c r="I26">
        <f>F26</f>
        <v/>
      </c>
    </row>
    <row r="27">
      <c r="A27" s="48" t="inlineStr">
        <is>
          <t>EMPLOYEE12</t>
        </is>
      </c>
      <c r="B27" s="36" t="inlineStr">
        <is>
          <t>PTO (incl. Banked)</t>
        </is>
      </c>
      <c r="C27" s="36">
        <f>EMPLOYEE12!D5+EMPLOYEE12!D6</f>
        <v/>
      </c>
      <c r="D27" s="36">
        <f>EMPLOYEE12!AI23+EMPLOYEE12!AJ23</f>
        <v/>
      </c>
      <c r="E27" s="36">
        <f>C27-D27</f>
        <v/>
      </c>
      <c r="F27" s="60">
        <f>IF(C27=0,0,D27/C27)</f>
        <v/>
      </c>
      <c r="H27">
        <f>A27&amp;" - "&amp;B27</f>
        <v/>
      </c>
      <c r="I27">
        <f>F27</f>
        <v/>
      </c>
    </row>
    <row r="28">
      <c r="A28" s="48" t="inlineStr">
        <is>
          <t>EMPLOYEE12</t>
        </is>
      </c>
      <c r="B28" s="36" t="inlineStr">
        <is>
          <t>Holiday</t>
        </is>
      </c>
      <c r="C28" s="36">
        <f>EMPLOYEE12!D7</f>
        <v/>
      </c>
      <c r="D28" s="36">
        <f>EMPLOYEE12!AH23</f>
        <v/>
      </c>
      <c r="E28" s="36">
        <f>C28-D28</f>
        <v/>
      </c>
      <c r="F28" s="60">
        <f>IF(C28=0,0,D28/C28)</f>
        <v/>
      </c>
      <c r="H28">
        <f>A28&amp;" - "&amp;B28</f>
        <v/>
      </c>
      <c r="I28">
        <f>F28</f>
        <v/>
      </c>
    </row>
    <row r="29">
      <c r="A29" s="49" t="inlineStr">
        <is>
          <t>EMPLOYEE13</t>
        </is>
      </c>
      <c r="B29" s="37" t="inlineStr">
        <is>
          <t>PTO (incl. Banked)</t>
        </is>
      </c>
      <c r="C29" s="37">
        <f>EMPLOYEE13!D5+EMPLOYEE13!D6</f>
        <v/>
      </c>
      <c r="D29" s="37">
        <f>EMPLOYEE13!AI23+EMPLOYEE13!AJ23</f>
        <v/>
      </c>
      <c r="E29" s="37">
        <f>C29-D29</f>
        <v/>
      </c>
      <c r="F29" s="61">
        <f>IF(C29=0,0,D29/C29)</f>
        <v/>
      </c>
      <c r="H29">
        <f>A29&amp;" - "&amp;B29</f>
        <v/>
      </c>
      <c r="I29">
        <f>F29</f>
        <v/>
      </c>
    </row>
    <row r="30">
      <c r="A30" s="49" t="inlineStr">
        <is>
          <t>EMPLOYEE13</t>
        </is>
      </c>
      <c r="B30" s="37" t="inlineStr">
        <is>
          <t>Holiday</t>
        </is>
      </c>
      <c r="C30" s="37">
        <f>EMPLOYEE13!D7</f>
        <v/>
      </c>
      <c r="D30" s="37">
        <f>EMPLOYEE13!AH23</f>
        <v/>
      </c>
      <c r="E30" s="37">
        <f>C30-D30</f>
        <v/>
      </c>
      <c r="F30" s="61">
        <f>IF(C30=0,0,D30/C30)</f>
        <v/>
      </c>
      <c r="H30">
        <f>A30&amp;" - "&amp;B30</f>
        <v/>
      </c>
      <c r="I30">
        <f>F30</f>
        <v/>
      </c>
    </row>
    <row r="31">
      <c r="A31" s="50" t="inlineStr">
        <is>
          <t>EMPLOYEE14</t>
        </is>
      </c>
      <c r="B31" s="38" t="inlineStr">
        <is>
          <t>PTO (incl. Banked)</t>
        </is>
      </c>
      <c r="C31" s="38">
        <f>EMPLOYEE14!D5+EMPLOYEE14!D6</f>
        <v/>
      </c>
      <c r="D31" s="38">
        <f>EMPLOYEE14!AI23+EMPLOYEE14!AJ23</f>
        <v/>
      </c>
      <c r="E31" s="38">
        <f>C31-D31</f>
        <v/>
      </c>
      <c r="F31" s="62">
        <f>IF(C31=0,0,D31/C31)</f>
        <v/>
      </c>
      <c r="H31">
        <f>A31&amp;" - "&amp;B31</f>
        <v/>
      </c>
      <c r="I31">
        <f>F31</f>
        <v/>
      </c>
    </row>
    <row r="32">
      <c r="A32" s="50" t="inlineStr">
        <is>
          <t>EMPLOYEE14</t>
        </is>
      </c>
      <c r="B32" s="38" t="inlineStr">
        <is>
          <t>Holiday</t>
        </is>
      </c>
      <c r="C32" s="38">
        <f>EMPLOYEE14!D7</f>
        <v/>
      </c>
      <c r="D32" s="38">
        <f>EMPLOYEE14!AH23</f>
        <v/>
      </c>
      <c r="E32" s="38">
        <f>C32-D32</f>
        <v/>
      </c>
      <c r="F32" s="62">
        <f>IF(C32=0,0,D32/C32)</f>
        <v/>
      </c>
      <c r="H32">
        <f>A32&amp;" - "&amp;B32</f>
        <v/>
      </c>
      <c r="I32">
        <f>F32</f>
        <v/>
      </c>
    </row>
    <row r="33">
      <c r="A33" s="51" t="inlineStr">
        <is>
          <t>EMPLOYEE15</t>
        </is>
      </c>
      <c r="B33" s="39" t="inlineStr">
        <is>
          <t>PTO (incl. Banked)</t>
        </is>
      </c>
      <c r="C33" s="39">
        <f>EMPLOYEE15!D5+EMPLOYEE15!D6</f>
        <v/>
      </c>
      <c r="D33" s="39">
        <f>EMPLOYEE15!AI23+EMPLOYEE15!AJ23</f>
        <v/>
      </c>
      <c r="E33" s="39">
        <f>C33-D33</f>
        <v/>
      </c>
      <c r="F33" s="63">
        <f>IF(C33=0,0,D33/C33)</f>
        <v/>
      </c>
      <c r="H33">
        <f>A33&amp;" - "&amp;B33</f>
        <v/>
      </c>
      <c r="I33">
        <f>F33</f>
        <v/>
      </c>
    </row>
    <row r="34">
      <c r="A34" s="51" t="inlineStr">
        <is>
          <t>EMPLOYEE15</t>
        </is>
      </c>
      <c r="B34" s="39" t="inlineStr">
        <is>
          <t>Holiday</t>
        </is>
      </c>
      <c r="C34" s="39">
        <f>EMPLOYEE15!D7</f>
        <v/>
      </c>
      <c r="D34" s="39">
        <f>EMPLOYEE15!AH23</f>
        <v/>
      </c>
      <c r="E34" s="39">
        <f>C34-D34</f>
        <v/>
      </c>
      <c r="F34" s="63">
        <f>IF(C34=0,0,D34/C34)</f>
        <v/>
      </c>
      <c r="H34">
        <f>A34&amp;" - "&amp;B34</f>
        <v/>
      </c>
      <c r="I34">
        <f>F34</f>
        <v/>
      </c>
    </row>
    <row r="35">
      <c r="A35" s="52" t="inlineStr">
        <is>
          <t>EMPLOYEE16</t>
        </is>
      </c>
      <c r="B35" s="40" t="inlineStr">
        <is>
          <t>PTO (incl. Banked)</t>
        </is>
      </c>
      <c r="C35" s="40">
        <f>EMPLOYEE16!D5+EMPLOYEE16!D6</f>
        <v/>
      </c>
      <c r="D35" s="40">
        <f>EMPLOYEE16!AI23+EMPLOYEE16!AJ23</f>
        <v/>
      </c>
      <c r="E35" s="40">
        <f>C35-D35</f>
        <v/>
      </c>
      <c r="F35" s="64">
        <f>IF(C35=0,0,D35/C35)</f>
        <v/>
      </c>
      <c r="H35">
        <f>A35&amp;" - "&amp;B35</f>
        <v/>
      </c>
      <c r="I35">
        <f>F35</f>
        <v/>
      </c>
    </row>
    <row r="36">
      <c r="A36" s="52" t="inlineStr">
        <is>
          <t>EMPLOYEE16</t>
        </is>
      </c>
      <c r="B36" s="40" t="inlineStr">
        <is>
          <t>Holiday</t>
        </is>
      </c>
      <c r="C36" s="40">
        <f>EMPLOYEE16!D7</f>
        <v/>
      </c>
      <c r="D36" s="40">
        <f>EMPLOYEE16!AH23</f>
        <v/>
      </c>
      <c r="E36" s="40">
        <f>C36-D36</f>
        <v/>
      </c>
      <c r="F36" s="64">
        <f>IF(C36=0,0,D36/C36)</f>
        <v/>
      </c>
      <c r="H36">
        <f>A36&amp;" - "&amp;B36</f>
        <v/>
      </c>
      <c r="I36">
        <f>F36</f>
        <v/>
      </c>
    </row>
    <row r="37">
      <c r="A37" s="53" t="inlineStr">
        <is>
          <t>EMPLOYEE17</t>
        </is>
      </c>
      <c r="B37" s="41" t="inlineStr">
        <is>
          <t>PTO (incl. Banked)</t>
        </is>
      </c>
      <c r="C37" s="41">
        <f>EMPLOYEE17!D5+EMPLOYEE17!D6</f>
        <v/>
      </c>
      <c r="D37" s="41">
        <f>EMPLOYEE17!AI23+EMPLOYEE17!AJ23</f>
        <v/>
      </c>
      <c r="E37" s="41">
        <f>C37-D37</f>
        <v/>
      </c>
      <c r="F37" s="65">
        <f>IF(C37=0,0,D37/C37)</f>
        <v/>
      </c>
      <c r="H37">
        <f>A37&amp;" - "&amp;B37</f>
        <v/>
      </c>
      <c r="I37">
        <f>F37</f>
        <v/>
      </c>
    </row>
    <row r="38">
      <c r="A38" s="53" t="inlineStr">
        <is>
          <t>EMPLOYEE17</t>
        </is>
      </c>
      <c r="B38" s="41" t="inlineStr">
        <is>
          <t>Holiday</t>
        </is>
      </c>
      <c r="C38" s="41">
        <f>EMPLOYEE17!D7</f>
        <v/>
      </c>
      <c r="D38" s="41">
        <f>EMPLOYEE17!AH23</f>
        <v/>
      </c>
      <c r="E38" s="41">
        <f>C38-D38</f>
        <v/>
      </c>
      <c r="F38" s="65">
        <f>IF(C38=0,0,D38/C38)</f>
        <v/>
      </c>
      <c r="H38">
        <f>A38&amp;" - "&amp;B38</f>
        <v/>
      </c>
      <c r="I38">
        <f>F38</f>
        <v/>
      </c>
    </row>
    <row r="39">
      <c r="A39" s="54" t="inlineStr">
        <is>
          <t>EMPLOYEE18</t>
        </is>
      </c>
      <c r="B39" s="42" t="inlineStr">
        <is>
          <t>PTO (incl. Banked)</t>
        </is>
      </c>
      <c r="C39" s="42">
        <f>EMPLOYEE18!D5+EMPLOYEE18!D6</f>
        <v/>
      </c>
      <c r="D39" s="42">
        <f>EMPLOYEE18!AI23+EMPLOYEE18!AJ23</f>
        <v/>
      </c>
      <c r="E39" s="42">
        <f>C39-D39</f>
        <v/>
      </c>
      <c r="F39" s="66">
        <f>IF(C39=0,0,D39/C39)</f>
        <v/>
      </c>
      <c r="H39">
        <f>A39&amp;" - "&amp;B39</f>
        <v/>
      </c>
      <c r="I39">
        <f>F39</f>
        <v/>
      </c>
    </row>
    <row r="40">
      <c r="A40" s="54" t="inlineStr">
        <is>
          <t>EMPLOYEE18</t>
        </is>
      </c>
      <c r="B40" s="42" t="inlineStr">
        <is>
          <t>Holiday</t>
        </is>
      </c>
      <c r="C40" s="42">
        <f>EMPLOYEE18!D7</f>
        <v/>
      </c>
      <c r="D40" s="42">
        <f>EMPLOYEE18!AH23</f>
        <v/>
      </c>
      <c r="E40" s="42">
        <f>C40-D40</f>
        <v/>
      </c>
      <c r="F40" s="66">
        <f>IF(C40=0,0,D40/C40)</f>
        <v/>
      </c>
      <c r="H40">
        <f>A40&amp;" - "&amp;B40</f>
        <v/>
      </c>
      <c r="I40">
        <f>F40</f>
        <v/>
      </c>
    </row>
    <row r="41">
      <c r="A41" s="55" t="inlineStr">
        <is>
          <t>EMPLOYEE19</t>
        </is>
      </c>
      <c r="B41" s="43" t="inlineStr">
        <is>
          <t>PTO (incl. Banked)</t>
        </is>
      </c>
      <c r="C41" s="43">
        <f>EMPLOYEE19!D5+EMPLOYEE19!D6</f>
        <v/>
      </c>
      <c r="D41" s="43">
        <f>EMPLOYEE19!AI23+EMPLOYEE19!AJ23</f>
        <v/>
      </c>
      <c r="E41" s="43">
        <f>C41-D41</f>
        <v/>
      </c>
      <c r="F41" s="67">
        <f>IF(C41=0,0,D41/C41)</f>
        <v/>
      </c>
      <c r="H41">
        <f>A41&amp;" - "&amp;B41</f>
        <v/>
      </c>
      <c r="I41">
        <f>F41</f>
        <v/>
      </c>
    </row>
    <row r="42">
      <c r="A42" s="55" t="inlineStr">
        <is>
          <t>EMPLOYEE19</t>
        </is>
      </c>
      <c r="B42" s="43" t="inlineStr">
        <is>
          <t>Holiday</t>
        </is>
      </c>
      <c r="C42" s="43">
        <f>EMPLOYEE19!D7</f>
        <v/>
      </c>
      <c r="D42" s="43">
        <f>EMPLOYEE19!AH23</f>
        <v/>
      </c>
      <c r="E42" s="43">
        <f>C42-D42</f>
        <v/>
      </c>
      <c r="F42" s="67">
        <f>IF(C42=0,0,D42/C42)</f>
        <v/>
      </c>
      <c r="H42">
        <f>A42&amp;" - "&amp;B42</f>
        <v/>
      </c>
      <c r="I42">
        <f>F42</f>
        <v/>
      </c>
    </row>
    <row r="43">
      <c r="A43" s="56" t="inlineStr">
        <is>
          <t>EMPLOYEE20</t>
        </is>
      </c>
      <c r="B43" s="44" t="inlineStr">
        <is>
          <t>PTO (incl. Banked)</t>
        </is>
      </c>
      <c r="C43" s="44">
        <f>EMPLOYEE20!D5+EMPLOYEE20!D6</f>
        <v/>
      </c>
      <c r="D43" s="44">
        <f>EMPLOYEE20!AI23+EMPLOYEE20!AJ23</f>
        <v/>
      </c>
      <c r="E43" s="44">
        <f>C43-D43</f>
        <v/>
      </c>
      <c r="F43" s="68">
        <f>IF(C43=0,0,D43/C43)</f>
        <v/>
      </c>
      <c r="H43">
        <f>A43&amp;" - "&amp;B43</f>
        <v/>
      </c>
      <c r="I43">
        <f>F43</f>
        <v/>
      </c>
    </row>
    <row r="44" ht="15" customHeight="1" thickBot="1">
      <c r="A44" s="57" t="inlineStr">
        <is>
          <t>EMPLOYEE20</t>
        </is>
      </c>
      <c r="B44" s="45" t="inlineStr">
        <is>
          <t>Holiday</t>
        </is>
      </c>
      <c r="C44" s="45">
        <f>EMPLOYEE20!D7</f>
        <v/>
      </c>
      <c r="D44" s="45">
        <f>EMPLOYEE20!AH23</f>
        <v/>
      </c>
      <c r="E44" s="45">
        <f>C44-D44</f>
        <v/>
      </c>
      <c r="F44" s="69">
        <f>IF(C44=0,0,D44/C44)</f>
        <v/>
      </c>
      <c r="H44">
        <f>A44&amp;" - "&amp;B44</f>
        <v/>
      </c>
      <c r="I44">
        <f>F44</f>
        <v/>
      </c>
    </row>
    <row r="45"/>
    <row r="46"/>
    <row r="47"/>
    <row r="48"/>
    <row r="49"/>
    <row r="50"/>
  </sheetData>
  <mergeCells count="2">
    <mergeCell ref="A2:F2"/>
    <mergeCell ref="A1:F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5"/>
  <sheetViews>
    <sheetView zoomScale="80" zoomScaleNormal="80" workbookViewId="0">
      <selection activeCell="F4" sqref="F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EMPLOYEE1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F4:G4"/>
    <mergeCell ref="D6:E6"/>
    <mergeCell ref="J4:K4"/>
    <mergeCell ref="D7:E7"/>
    <mergeCell ref="H6:I6"/>
    <mergeCell ref="J5:K5"/>
    <mergeCell ref="J6:K6"/>
    <mergeCell ref="H7:I7"/>
    <mergeCell ref="F5:G5"/>
    <mergeCell ref="D5:E5"/>
    <mergeCell ref="J7:K7"/>
    <mergeCell ref="H5:I5"/>
    <mergeCell ref="D4:E4"/>
    <mergeCell ref="F6:G6"/>
    <mergeCell ref="H4:I4"/>
    <mergeCell ref="A7:C7"/>
    <mergeCell ref="AH9:AM9"/>
    <mergeCell ref="F7:G7"/>
  </mergeCells>
  <conditionalFormatting sqref="B4:C4">
    <cfRule type="containsText" priority="39" operator="containsText" dxfId="0" text="PBH">
      <formula>NOT(ISERROR(SEARCH("PBH",B4)))</formula>
    </cfRule>
  </conditionalFormatting>
  <conditionalFormatting sqref="B4:D4">
    <cfRule type="cellIs" priority="34" operator="equal" dxfId="0">
      <formula>"PBH"</formula>
    </cfRule>
    <cfRule type="containsText" priority="35" operator="containsText" dxfId="0" text="PH">
      <formula>NOT(ISERROR(SEARCH("PH",B4)))</formula>
    </cfRule>
  </conditionalFormatting>
  <conditionalFormatting sqref="B1:AF3 B9:AF10 B23:AF1048576 L4:AF4 L5:R8 Z5:AF8">
    <cfRule type="cellIs" priority="86" operator="equal" dxfId="0">
      <formula>"PH"</formula>
    </cfRule>
  </conditionalFormatting>
  <conditionalFormatting sqref="B1:AF3">
    <cfRule type="cellIs" priority="40" operator="equal" dxfId="0">
      <formula>"PBH"</formula>
    </cfRule>
  </conditionalFormatting>
  <conditionalFormatting sqref="B9:AF15 B16:P16 B17:AF1048576 R16:AF16">
    <cfRule type="cellIs" priority="3" operator="equal" dxfId="0">
      <formula>"PBH"</formula>
    </cfRule>
  </conditionalFormatting>
  <conditionalFormatting sqref="B11:AF15 B16:P16 B17:AF22 R16:AF16">
    <cfRule type="containsText" priority="4" operator="containsText" dxfId="0" text="PH">
      <formula>NOT(ISERROR(SEARCH("PH",B11)))</formula>
    </cfRule>
    <cfRule type="cellIs" priority="5" operator="equal" dxfId="6">
      <formula>"H"</formula>
    </cfRule>
    <cfRule type="cellIs" priority="6" operator="equal" dxfId="5">
      <formula>"T"</formula>
    </cfRule>
    <cfRule type="cellIs" priority="7" operator="equal" dxfId="0">
      <formula>"PB"</formula>
    </cfRule>
    <cfRule type="cellIs" priority="8" operator="equal" dxfId="3">
      <formula>"B"</formula>
    </cfRule>
    <cfRule type="cellIs" priority="9" operator="equal" dxfId="2" stopIfTrue="1">
      <formula>"J"</formula>
    </cfRule>
    <cfRule type="cellIs" priority="10" operator="equal" dxfId="1">
      <formula>"R"</formula>
    </cfRule>
    <cfRule type="cellIs" priority="11" operator="equal" dxfId="0">
      <formula>"P"</formula>
    </cfRule>
  </conditionalFormatting>
  <conditionalFormatting sqref="D7:K7">
    <cfRule type="containsText" priority="37" operator="containsText" dxfId="0" text="PH">
      <formula>NOT(ISERROR(SEARCH("PH",D7)))</formula>
    </cfRule>
    <cfRule type="cellIs" priority="36" operator="equal" dxfId="0">
      <formula>"PBH"</formula>
    </cfRule>
  </conditionalFormatting>
  <conditionalFormatting sqref="D5:D6 F4:F6 H4:H6 J4:J6">
    <cfRule type="containsText" priority="2" operator="containsText" dxfId="0" text="PH">
      <formula>NOT(ISERROR(SEARCH("PH",D4)))</formula>
    </cfRule>
    <cfRule type="cellIs" priority="1" operator="equal" dxfId="0">
      <formula>"PBH"</formula>
    </cfRule>
  </conditionalFormatting>
  <conditionalFormatting sqref="L4:AF8">
    <cfRule type="cellIs" priority="25" operator="equal" dxfId="0">
      <formula>"PBH"</formula>
    </cfRule>
  </conditionalFormatting>
  <conditionalFormatting sqref="M5:AA8">
    <cfRule type="containsText" priority="26" operator="containsText" dxfId="0" text="PH">
      <formula>NOT(ISERROR(SEARCH("PH",M5)))</formula>
    </cfRule>
  </conditionalFormatting>
  <conditionalFormatting sqref="S5">
    <cfRule type="cellIs" priority="23" operator="equal" dxfId="1">
      <formula>"R"</formula>
    </cfRule>
    <cfRule type="cellIs" priority="22" operator="equal" dxfId="2" stopIfTrue="1">
      <formula>"J"</formula>
    </cfRule>
    <cfRule type="cellIs" priority="21" operator="equal" dxfId="3">
      <formula>"B"</formula>
    </cfRule>
    <cfRule type="cellIs" priority="20" operator="equal" dxfId="0">
      <formula>"PB"</formula>
    </cfRule>
    <cfRule type="cellIs" priority="19" operator="equal" dxfId="5">
      <formula>"T"</formula>
    </cfRule>
    <cfRule type="cellIs" priority="18" operator="equal" dxfId="6">
      <formula>"H"</formula>
    </cfRule>
    <cfRule type="cellIs" priority="24" operator="equal" dxfId="0">
      <formula>"P"</formula>
    </cfRule>
  </conditionalFormatting>
  <conditionalFormatting sqref="Y6">
    <cfRule type="cellIs" priority="27" operator="equal" dxfId="6">
      <formula>"H"</formula>
    </cfRule>
    <cfRule type="cellIs" priority="28" operator="equal" dxfId="5">
      <formula>"T"</formula>
    </cfRule>
    <cfRule type="cellIs" priority="29" operator="equal" dxfId="0">
      <formula>"PB"</formula>
    </cfRule>
    <cfRule type="cellIs" priority="30" operator="equal" dxfId="3">
      <formula>"B"</formula>
    </cfRule>
    <cfRule type="cellIs" priority="31" operator="equal" dxfId="2" stopIfTrue="1">
      <formula>"J"</formula>
    </cfRule>
    <cfRule type="cellIs" priority="32" operator="equal" dxfId="1">
      <formula>"R"</formula>
    </cfRule>
    <cfRule type="cellIs" priority="33" operator="equal" dxfId="0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5"/>
  <sheetViews>
    <sheetView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6.33203125" bestFit="1" customWidth="1" style="81" min="35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EMPLOYEE2</t>
        </is>
      </c>
    </row>
    <row r="3" ht="15" customHeight="1" thickBot="1"/>
    <row r="4" ht="25.95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3.95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F4:G4"/>
    <mergeCell ref="D6:E6"/>
    <mergeCell ref="J4:K4"/>
    <mergeCell ref="H6:I6"/>
    <mergeCell ref="D7:E7"/>
    <mergeCell ref="J5:K5"/>
    <mergeCell ref="J6:K6"/>
    <mergeCell ref="H7:I7"/>
    <mergeCell ref="F5:G5"/>
    <mergeCell ref="D5:E5"/>
    <mergeCell ref="J7:K7"/>
    <mergeCell ref="H5:I5"/>
    <mergeCell ref="D4:E4"/>
    <mergeCell ref="F6:G6"/>
    <mergeCell ref="H4:I4"/>
    <mergeCell ref="A7:C7"/>
    <mergeCell ref="AH9:AM9"/>
    <mergeCell ref="F7:G7"/>
  </mergeCells>
  <conditionalFormatting sqref="B4:C4 D7:K7">
    <cfRule type="cellIs" priority="42" operator="equal" dxfId="0">
      <formula>"PBH"</formula>
    </cfRule>
    <cfRule type="containsText" priority="43" operator="containsText" dxfId="0" text="PH">
      <formula>NOT(ISERROR(SEARCH("PH",B4)))</formula>
    </cfRule>
  </conditionalFormatting>
  <conditionalFormatting sqref="B1:AF3 B4:C4 B9:AF10 B23:AF1048576 L4:AF4 L5:R8 Z5:AF8">
    <cfRule type="containsText" priority="71" operator="containsText" dxfId="0" text="PBH">
      <formula>NOT(ISERROR(SEARCH("PBH",B1)))</formula>
    </cfRule>
  </conditionalFormatting>
  <conditionalFormatting sqref="B1:AF3">
    <cfRule type="containsText" priority="45" operator="containsText" dxfId="0" text="PH">
      <formula>NOT(ISERROR(SEARCH("PH",B1)))</formula>
    </cfRule>
  </conditionalFormatting>
  <conditionalFormatting sqref="B9:AF15 B16:P16 B17:AF1048576 R16:AF16">
    <cfRule type="containsText" priority="16" operator="containsText" dxfId="0" text="PH">
      <formula>NOT(ISERROR(SEARCH("PH",B9)))</formula>
    </cfRule>
  </conditionalFormatting>
  <conditionalFormatting sqref="B11:AF15 B16:P16 B17:AF22 R16:AF16">
    <cfRule type="cellIs" priority="15" operator="equal" dxfId="0">
      <formula>"PBH"</formula>
    </cfRule>
    <cfRule type="cellIs" priority="17" operator="equal" dxfId="6">
      <formula>"H"</formula>
    </cfRule>
    <cfRule type="cellIs" priority="18" operator="equal" dxfId="5">
      <formula>"T"</formula>
    </cfRule>
    <cfRule type="cellIs" priority="19" operator="equal" dxfId="0">
      <formula>"PB"</formula>
    </cfRule>
    <cfRule type="cellIs" priority="20" operator="equal" dxfId="3">
      <formula>"B"</formula>
    </cfRule>
    <cfRule type="cellIs" priority="21" operator="equal" dxfId="2" stopIfTrue="1">
      <formula>"J"</formula>
    </cfRule>
    <cfRule type="cellIs" priority="22" operator="equal" dxfId="1">
      <formula>"R"</formula>
    </cfRule>
    <cfRule type="cellIs" priority="2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ontainsText" priority="32" operator="containsText" dxfId="0" text="PH">
      <formula>NOT(ISERROR(SEARCH("PH",L4)))</formula>
    </cfRule>
  </conditionalFormatting>
  <conditionalFormatting sqref="M5:AA8">
    <cfRule type="cellIs" priority="31" operator="equal" dxfId="0">
      <formula>"PBH"</formula>
    </cfRule>
  </conditionalFormatting>
  <conditionalFormatting sqref="S5">
    <cfRule type="cellIs" priority="24" operator="equal" dxfId="6">
      <formula>"H"</formula>
    </cfRule>
    <cfRule type="cellIs" priority="25" operator="equal" dxfId="5">
      <formula>"T"</formula>
    </cfRule>
    <cfRule type="cellIs" priority="26" operator="equal" dxfId="0">
      <formula>"PB"</formula>
    </cfRule>
    <cfRule type="cellIs" priority="27" operator="equal" dxfId="3">
      <formula>"B"</formula>
    </cfRule>
    <cfRule type="cellIs" priority="28" operator="equal" dxfId="2" stopIfTrue="1">
      <formula>"J"</formula>
    </cfRule>
    <cfRule type="cellIs" priority="29" operator="equal" dxfId="1">
      <formula>"R"</formula>
    </cfRule>
    <cfRule type="cellIs" priority="30" operator="equal" dxfId="0">
      <formula>"P"</formula>
    </cfRule>
  </conditionalFormatting>
  <conditionalFormatting sqref="Y6">
    <cfRule type="cellIs" priority="33" operator="equal" dxfId="6">
      <formula>"H"</formula>
    </cfRule>
    <cfRule type="cellIs" priority="34" operator="equal" dxfId="5">
      <formula>"T"</formula>
    </cfRule>
    <cfRule type="cellIs" priority="35" operator="equal" dxfId="0">
      <formula>"PB"</formula>
    </cfRule>
    <cfRule type="cellIs" priority="36" operator="equal" dxfId="3">
      <formula>"B"</formula>
    </cfRule>
    <cfRule type="cellIs" priority="37" operator="equal" dxfId="2" stopIfTrue="1">
      <formula>"J"</formula>
    </cfRule>
    <cfRule type="cellIs" priority="38" operator="equal" dxfId="1">
      <formula>"R"</formula>
    </cfRule>
    <cfRule type="cellIs" priority="39" operator="equal" dxfId="0">
      <formula>"P"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P25"/>
  <sheetViews>
    <sheetView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.44140625" customWidth="1" style="81" min="2" max="12"/>
    <col width="4.88671875" customWidth="1" style="81" min="13" max="13"/>
    <col width="4.44140625" customWidth="1" style="81" min="14" max="32"/>
    <col width="4.33203125" customWidth="1" style="81" min="33" max="33"/>
    <col width="6.6640625" customWidth="1" style="81" min="34" max="34"/>
    <col width="7.5546875" bestFit="1" customWidth="1" style="81" min="35" max="35"/>
    <col width="6.6640625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EMPLOYEE3</t>
        </is>
      </c>
    </row>
    <row r="3" ht="15" customHeight="1" thickBot="1"/>
    <row r="4" ht="31.2" customFormat="1" customHeight="1" s="27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7.4" customHeight="1">
      <c r="A5" s="75" t="inlineStr">
        <is>
          <t>PTO</t>
        </is>
      </c>
      <c r="C5" s="111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7.4" customHeight="1">
      <c r="A6" s="75" t="inlineStr">
        <is>
          <t>Banked PTO</t>
        </is>
      </c>
      <c r="C6" s="111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7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  <c r="Y7" s="81" t="inlineStr">
        <is>
          <t xml:space="preserve"> </t>
        </is>
      </c>
      <c r="Z7" s="81" t="inlineStr">
        <is>
          <t xml:space="preserve"> </t>
        </is>
      </c>
    </row>
    <row r="8" ht="17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20">
    <mergeCell ref="F4:G4"/>
    <mergeCell ref="J5:K5"/>
    <mergeCell ref="F6:G6"/>
    <mergeCell ref="H4:I4"/>
    <mergeCell ref="AH9:AM9"/>
    <mergeCell ref="F7:G7"/>
    <mergeCell ref="D6:E6"/>
    <mergeCell ref="H6:I6"/>
    <mergeCell ref="A5:C5"/>
    <mergeCell ref="J6:K6"/>
    <mergeCell ref="F5:G5"/>
    <mergeCell ref="J4:K4"/>
    <mergeCell ref="D7:E7"/>
    <mergeCell ref="H7:I7"/>
    <mergeCell ref="J7:K7"/>
    <mergeCell ref="D4:E4"/>
    <mergeCell ref="A6:C6"/>
    <mergeCell ref="D5:E5"/>
    <mergeCell ref="H5:I5"/>
    <mergeCell ref="A7:C7"/>
  </mergeCells>
  <conditionalFormatting sqref="B11:AF15 B16:P16 B17:AF22 R16:AF1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31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B1:AF3 B4:C4 B9:AF15 B16:P16 B17:AF1048576 D7:K7 L4:AF8 R16:AF16">
    <cfRule type="cellIs" priority="14" operator="equal" dxfId="0">
      <formula>"PBH"</formula>
    </cfRule>
    <cfRule type="containsText" priority="15" operator="containsText" dxfId="0" text="PH">
      <formula>NOT(ISERROR(SEARCH("PH",B1)))</formula>
    </cfRule>
  </conditionalFormatting>
  <conditionalFormatting sqref="S5"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Y6">
    <cfRule type="cellIs" priority="16" operator="equal" dxfId="6">
      <formula>"H"</formula>
    </cfRule>
    <cfRule type="cellIs" priority="17" operator="equal" dxfId="5">
      <formula>"T"</formula>
    </cfRule>
    <cfRule type="cellIs" priority="18" operator="equal" dxfId="0">
      <formula>"PB"</formula>
    </cfRule>
    <cfRule type="cellIs" priority="19" operator="equal" dxfId="3">
      <formula>"B"</formula>
    </cfRule>
    <cfRule type="cellIs" priority="20" operator="equal" dxfId="2" stopIfTrue="1">
      <formula>"J"</formula>
    </cfRule>
    <cfRule type="cellIs" priority="21" operator="equal" dxfId="1">
      <formula>"R"</formula>
    </cfRule>
    <cfRule type="cellIs" priority="22" operator="equal" dxfId="0">
      <formula>"P"</formula>
    </cfRule>
  </conditionalFormatting>
  <pageMargins left="0.25" right="0.25" top="0.75" bottom="0.75" header="0.3" footer="0.3"/>
  <pageSetup orientation="landscape" scale="71" fitToHeight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EMPLOYEE4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4" operator="equal" dxfId="0">
      <formula>"PBH"</formula>
    </cfRule>
    <cfRule type="containsText" priority="35" operator="containsText" dxfId="0" text="PH">
      <formula>NOT(ISERROR(SEARCH("PH",B4)))</formula>
    </cfRule>
  </conditionalFormatting>
  <conditionalFormatting sqref="B4:C4">
    <cfRule type="containsText" priority="37" operator="containsText" dxfId="0" text="PBH">
      <formula>NOT(ISERROR(SEARCH("PBH",B4)))</formula>
    </cfRule>
  </conditionalFormatting>
  <conditionalFormatting sqref="B1:AF3 B9:AF10 B23:AF1048576 L4:AF4 L5:R8 Z5:AF8">
    <cfRule type="cellIs" priority="39" operator="equal" dxfId="0">
      <formula>"PH"</formula>
    </cfRule>
  </conditionalFormatting>
  <conditionalFormatting sqref="B1:AF3">
    <cfRule type="cellIs" priority="38" operator="equal" dxfId="0">
      <formula>"PBH"</formula>
    </cfRule>
  </conditionalFormatting>
  <conditionalFormatting sqref="B9:AF15 B16:P16 B17:AF1048576 R16:AF16">
    <cfRule type="cellIs" priority="7" operator="equal" dxfId="0">
      <formula>"PBH"</formula>
    </cfRule>
  </conditionalFormatting>
  <conditionalFormatting sqref="B11:AF15 B16:P16 B17:AF22 R16:AF16">
    <cfRule type="containsText" priority="8" operator="containsText" dxfId="0" text="PH">
      <formula>NOT(ISERROR(SEARCH("PH",B11)))</formula>
    </cfRule>
    <cfRule type="cellIs" priority="9" operator="equal" dxfId="6">
      <formula>"H"</formula>
    </cfRule>
    <cfRule type="cellIs" priority="10" operator="equal" dxfId="5">
      <formula>"T"</formula>
    </cfRule>
    <cfRule type="cellIs" priority="11" operator="equal" dxfId="0">
      <formula>"PB"</formula>
    </cfRule>
    <cfRule type="cellIs" priority="12" operator="equal" dxfId="3">
      <formula>"B"</formula>
    </cfRule>
    <cfRule type="cellIs" priority="13" operator="equal" dxfId="2" stopIfTrue="1">
      <formula>"J"</formula>
    </cfRule>
    <cfRule type="cellIs" priority="14" operator="equal" dxfId="1">
      <formula>"R"</formula>
    </cfRule>
    <cfRule type="cellIs" priority="15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3" operator="equal" dxfId="0">
      <formula>"PBH"</formula>
    </cfRule>
  </conditionalFormatting>
  <conditionalFormatting sqref="M5:AA8">
    <cfRule type="containsText" priority="24" operator="containsText" dxfId="0" text="PH">
      <formula>NOT(ISERROR(SEARCH("PH",M5)))</formula>
    </cfRule>
  </conditionalFormatting>
  <conditionalFormatting sqref="S5">
    <cfRule type="cellIs" priority="16" operator="equal" dxfId="6">
      <formula>"H"</formula>
    </cfRule>
    <cfRule type="cellIs" priority="17" operator="equal" dxfId="5">
      <formula>"T"</formula>
    </cfRule>
    <cfRule type="cellIs" priority="18" operator="equal" dxfId="0">
      <formula>"PB"</formula>
    </cfRule>
    <cfRule type="cellIs" priority="19" operator="equal" dxfId="3">
      <formula>"B"</formula>
    </cfRule>
    <cfRule type="cellIs" priority="20" operator="equal" dxfId="2" stopIfTrue="1">
      <formula>"J"</formula>
    </cfRule>
    <cfRule type="cellIs" priority="21" operator="equal" dxfId="1">
      <formula>"R"</formula>
    </cfRule>
    <cfRule type="cellIs" priority="22" operator="equal" dxfId="0">
      <formula>"P"</formula>
    </cfRule>
  </conditionalFormatting>
  <conditionalFormatting sqref="Y6">
    <cfRule type="cellIs" priority="25" operator="equal" dxfId="6">
      <formula>"H"</formula>
    </cfRule>
    <cfRule type="cellIs" priority="26" operator="equal" dxfId="5">
      <formula>"T"</formula>
    </cfRule>
    <cfRule type="cellIs" priority="27" operator="equal" dxfId="0">
      <formula>"PB"</formula>
    </cfRule>
    <cfRule type="cellIs" priority="28" operator="equal" dxfId="3">
      <formula>"B"</formula>
    </cfRule>
    <cfRule type="cellIs" priority="29" operator="equal" dxfId="2" stopIfTrue="1">
      <formula>"J"</formula>
    </cfRule>
    <cfRule type="cellIs" priority="30" operator="equal" dxfId="1">
      <formula>"R"</formula>
    </cfRule>
    <cfRule type="cellIs" priority="31" operator="equal" dxfId="0">
      <formula>"P"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EMPLOYEE5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EMPLOYEE6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25"/>
  <sheetViews>
    <sheetView tabSelected="1" topLeftCell="A3" zoomScale="80" zoomScaleNormal="80" workbookViewId="0">
      <selection activeCell="D4" sqref="D4:E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EMPLOYEE7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EMPLOYEE8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EMPLOYEE9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EMPLOYEE10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EMPLOYEE11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EMPLOYEE12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EMPLOYEE13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EMPLOYEE14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EMPLOYEE15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EMPLOYEE16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EMPLOYEE17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EMPLOYEE18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P25"/>
  <sheetViews>
    <sheetView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EMPLOYEE19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P25"/>
  <sheetViews>
    <sheetView topLeftCell="A3" zoomScale="80" zoomScaleNormal="80" workbookViewId="0">
      <selection activeCell="D4" sqref="D4:K4"/>
    </sheetView>
  </sheetViews>
  <sheetFormatPr baseColWidth="8" defaultColWidth="3.88671875" defaultRowHeight="26.25" customHeight="1"/>
  <cols>
    <col width="6.6640625" bestFit="1" customWidth="1" style="81" min="1" max="1"/>
    <col width="4" bestFit="1" customWidth="1" style="81" min="2" max="4"/>
    <col width="4.109375" customWidth="1" style="81" min="5" max="5"/>
    <col width="4.33203125" customWidth="1" style="81" min="6" max="6"/>
    <col width="4.109375" customWidth="1" style="81" min="7" max="7"/>
    <col width="4" customWidth="1" style="81" min="8" max="8"/>
    <col width="4" bestFit="1" customWidth="1" style="81" min="9" max="10"/>
    <col width="4.109375" bestFit="1" customWidth="1" style="81" min="11" max="32"/>
    <col width="2.109375" customWidth="1" style="81" min="33" max="33"/>
    <col width="4.33203125" customWidth="1" style="81" min="34" max="34"/>
    <col width="8" bestFit="1" customWidth="1" style="81" min="35" max="35"/>
    <col width="6.33203125" bestFit="1" customWidth="1" style="81" min="36" max="39"/>
    <col width="3.88671875" customWidth="1" style="81" min="40" max="41"/>
    <col width="2.88671875" customWidth="1" style="81" min="42" max="42"/>
    <col width="3.88671875" customWidth="1" style="81" min="43" max="16384"/>
  </cols>
  <sheetData>
    <row r="1" ht="18" customHeight="1">
      <c r="A1" s="79" t="inlineStr">
        <is>
          <t>2026 Time Off Calendar</t>
        </is>
      </c>
      <c r="B1" s="79" t="n"/>
      <c r="C1" s="79" t="n"/>
      <c r="D1" s="79" t="n"/>
      <c r="E1" s="79" t="n"/>
      <c r="F1" s="79" t="n"/>
      <c r="G1" s="2" t="n"/>
      <c r="H1" s="2" t="n"/>
      <c r="I1" s="2" t="n"/>
      <c r="J1" s="79" t="n"/>
      <c r="K1" s="79" t="n"/>
      <c r="L1" s="79" t="n"/>
      <c r="M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</row>
    <row r="2" ht="18" customHeight="1">
      <c r="A2" s="79" t="inlineStr">
        <is>
          <t>EMPLOYEE20</t>
        </is>
      </c>
    </row>
    <row r="3" ht="15" customHeight="1" thickBot="1"/>
    <row r="4" ht="29.4" customHeight="1">
      <c r="A4" s="4" t="n"/>
      <c r="B4" s="4" t="n"/>
      <c r="C4" s="4" t="n"/>
      <c r="D4" s="107" t="n">
        <v>2026</v>
      </c>
      <c r="E4" s="108" t="n"/>
      <c r="F4" s="107" t="inlineStr">
        <is>
          <t>Used/ Planned</t>
        </is>
      </c>
      <c r="G4" s="108" t="n"/>
      <c r="H4" s="107" t="inlineStr">
        <is>
          <t>Balance</t>
        </is>
      </c>
      <c r="I4" s="108" t="n"/>
      <c r="J4" s="107" t="inlineStr">
        <is>
          <t>Rollover</t>
        </is>
      </c>
      <c r="K4" s="108" t="n"/>
    </row>
    <row r="5" ht="14.4" customHeight="1">
      <c r="A5" s="74" t="inlineStr">
        <is>
          <t>PTO</t>
        </is>
      </c>
      <c r="B5" s="74" t="n"/>
      <c r="C5" s="75" t="n"/>
      <c r="D5" s="109" t="n"/>
      <c r="E5" s="110" t="n"/>
      <c r="F5" s="109">
        <f>AI23</f>
        <v/>
      </c>
      <c r="G5" s="110" t="n"/>
      <c r="H5" s="109">
        <f>D5-F5</f>
        <v/>
      </c>
      <c r="I5" s="110" t="n"/>
      <c r="J5" s="109" t="inlineStr">
        <is>
          <t xml:space="preserve"> </t>
        </is>
      </c>
      <c r="K5" s="110" t="n"/>
      <c r="L5" s="2" t="n"/>
      <c r="M5" s="7" t="inlineStr">
        <is>
          <t>P</t>
        </is>
      </c>
      <c r="N5" s="2" t="inlineStr">
        <is>
          <t>PTO</t>
        </is>
      </c>
      <c r="O5" s="2" t="n"/>
      <c r="P5" s="2" t="n"/>
      <c r="Q5" s="2" t="n"/>
      <c r="R5" s="2" t="n"/>
      <c r="S5" s="28" t="inlineStr">
        <is>
          <t>H</t>
        </is>
      </c>
      <c r="T5" s="2" t="inlineStr">
        <is>
          <t>Holiday</t>
        </is>
      </c>
      <c r="V5" s="2" t="n"/>
      <c r="W5" s="2" t="n"/>
      <c r="Y5" s="9" t="n"/>
      <c r="Z5" s="2" t="inlineStr">
        <is>
          <t>Sat/Sun</t>
        </is>
      </c>
    </row>
    <row r="6" ht="14.4" customHeight="1">
      <c r="A6" s="74" t="inlineStr">
        <is>
          <t>Banked PTO</t>
        </is>
      </c>
      <c r="B6" s="74" t="n"/>
      <c r="C6" s="75" t="n"/>
      <c r="D6" s="109" t="n"/>
      <c r="E6" s="110" t="n"/>
      <c r="F6" s="109">
        <f>AJ23</f>
        <v/>
      </c>
      <c r="G6" s="110" t="n"/>
      <c r="H6" s="109">
        <f>D6-F6</f>
        <v/>
      </c>
      <c r="I6" s="110" t="n"/>
      <c r="J6" s="109">
        <f>IF(H5&gt;10,IF(H6+10&gt;20,20,H6+10),IF(H6+H5&gt;20,20,H6+H5))</f>
        <v/>
      </c>
      <c r="K6" s="110" t="n"/>
      <c r="L6" s="2" t="n"/>
      <c r="M6" s="7" t="inlineStr">
        <is>
          <t>PH</t>
        </is>
      </c>
      <c r="N6" s="81" t="inlineStr">
        <is>
          <t>1/2 PTO</t>
        </is>
      </c>
      <c r="O6" s="2" t="n"/>
      <c r="P6" s="2" t="n"/>
      <c r="Q6" s="2" t="n"/>
      <c r="R6" s="2" t="n"/>
      <c r="S6" s="29" t="inlineStr">
        <is>
          <t>B</t>
        </is>
      </c>
      <c r="T6" s="2" t="inlineStr">
        <is>
          <t>Bereavement</t>
        </is>
      </c>
      <c r="U6" s="2" t="n"/>
      <c r="V6" s="2" t="n"/>
      <c r="W6" s="2" t="n"/>
      <c r="Y6" s="30" t="inlineStr">
        <is>
          <t>R</t>
        </is>
      </c>
      <c r="Z6" s="2" t="inlineStr">
        <is>
          <t>Remote</t>
        </is>
      </c>
      <c r="AA6" s="2" t="n"/>
    </row>
    <row r="7" ht="14.4" customHeight="1">
      <c r="A7" s="75" t="inlineStr">
        <is>
          <t>Holiday</t>
        </is>
      </c>
      <c r="C7" s="111" t="n"/>
      <c r="D7" s="76" t="n">
        <v>10</v>
      </c>
      <c r="E7" s="112" t="n"/>
      <c r="F7" s="76">
        <f>AH23</f>
        <v/>
      </c>
      <c r="G7" s="112" t="n"/>
      <c r="H7" s="76">
        <f>D7-F7</f>
        <v/>
      </c>
      <c r="I7" s="112" t="n"/>
      <c r="J7" s="76" t="inlineStr">
        <is>
          <t xml:space="preserve"> </t>
        </is>
      </c>
      <c r="K7" s="112" t="n"/>
      <c r="L7" s="2" t="n"/>
      <c r="M7" s="7" t="inlineStr">
        <is>
          <t>PB</t>
        </is>
      </c>
      <c r="N7" s="2" t="inlineStr">
        <is>
          <t>Banked PTO</t>
        </is>
      </c>
      <c r="O7" s="2" t="n"/>
      <c r="P7" s="2" t="n"/>
      <c r="Q7" s="2" t="n"/>
      <c r="R7" s="2" t="n"/>
      <c r="S7" s="31" t="inlineStr">
        <is>
          <t>J</t>
        </is>
      </c>
      <c r="T7" s="2" t="inlineStr">
        <is>
          <t>Jury Duty</t>
        </is>
      </c>
      <c r="U7" s="2" t="n"/>
      <c r="V7" s="2" t="n"/>
      <c r="W7" s="2" t="n"/>
    </row>
    <row r="8" ht="14.4" customHeight="1">
      <c r="L8" s="2" t="n"/>
      <c r="M8" s="7" t="inlineStr">
        <is>
          <t>PBH</t>
        </is>
      </c>
      <c r="N8" s="81" t="inlineStr">
        <is>
          <t>1/2 Banked PTO</t>
        </is>
      </c>
      <c r="P8" s="2" t="n"/>
      <c r="Q8" s="2" t="n"/>
      <c r="R8" s="2" t="n"/>
      <c r="S8" s="32" t="inlineStr">
        <is>
          <t>T</t>
        </is>
      </c>
      <c r="T8" s="2" t="inlineStr">
        <is>
          <t>Training</t>
        </is>
      </c>
      <c r="U8" s="2" t="n"/>
      <c r="V8" s="2" t="n"/>
      <c r="W8" s="2" t="n"/>
    </row>
    <row r="9" ht="14.4" customHeight="1">
      <c r="AH9" s="77" t="inlineStr">
        <is>
          <t>Total Used/Planned</t>
        </is>
      </c>
      <c r="AI9" s="113" t="n"/>
      <c r="AJ9" s="113" t="n"/>
      <c r="AK9" s="113" t="n"/>
      <c r="AL9" s="113" t="n"/>
      <c r="AM9" s="113" t="n"/>
    </row>
    <row r="10" ht="26.25" customHeight="1">
      <c r="A10" s="12" t="n"/>
      <c r="B10" s="13" t="n">
        <v>1</v>
      </c>
      <c r="C10" s="13" t="n">
        <v>2</v>
      </c>
      <c r="D10" s="13" t="n">
        <v>3</v>
      </c>
      <c r="E10" s="13" t="n">
        <v>4</v>
      </c>
      <c r="F10" s="13" t="n">
        <v>5</v>
      </c>
      <c r="G10" s="13" t="n">
        <v>6</v>
      </c>
      <c r="H10" s="13" t="n">
        <v>7</v>
      </c>
      <c r="I10" s="13" t="n">
        <v>8</v>
      </c>
      <c r="J10" s="13" t="n">
        <v>9</v>
      </c>
      <c r="K10" s="13" t="n">
        <v>10</v>
      </c>
      <c r="L10" s="13" t="n">
        <v>11</v>
      </c>
      <c r="M10" s="13" t="n">
        <v>12</v>
      </c>
      <c r="N10" s="13" t="n">
        <v>13</v>
      </c>
      <c r="O10" s="13" t="n">
        <v>14</v>
      </c>
      <c r="P10" s="13" t="n">
        <v>15</v>
      </c>
      <c r="Q10" s="13" t="n">
        <v>16</v>
      </c>
      <c r="R10" s="13" t="n">
        <v>17</v>
      </c>
      <c r="S10" s="13" t="n">
        <v>18</v>
      </c>
      <c r="T10" s="13" t="n">
        <v>19</v>
      </c>
      <c r="U10" s="13" t="n">
        <v>20</v>
      </c>
      <c r="V10" s="13" t="n">
        <v>21</v>
      </c>
      <c r="W10" s="13" t="n">
        <v>22</v>
      </c>
      <c r="X10" s="13" t="n">
        <v>23</v>
      </c>
      <c r="Y10" s="13" t="n">
        <v>24</v>
      </c>
      <c r="Z10" s="13" t="n">
        <v>25</v>
      </c>
      <c r="AA10" s="13" t="n">
        <v>26</v>
      </c>
      <c r="AB10" s="13" t="n">
        <v>27</v>
      </c>
      <c r="AC10" s="13" t="n">
        <v>28</v>
      </c>
      <c r="AD10" s="13" t="n">
        <v>29</v>
      </c>
      <c r="AE10" s="13" t="n">
        <v>30</v>
      </c>
      <c r="AF10" s="13" t="n">
        <v>31</v>
      </c>
      <c r="AG10" s="14" t="n"/>
      <c r="AH10" s="77" t="inlineStr">
        <is>
          <t>H</t>
        </is>
      </c>
      <c r="AI10" s="77" t="inlineStr">
        <is>
          <t>P</t>
        </is>
      </c>
      <c r="AJ10" s="77" t="inlineStr">
        <is>
          <t>PB</t>
        </is>
      </c>
      <c r="AK10" s="77" t="inlineStr">
        <is>
          <t>B</t>
        </is>
      </c>
      <c r="AL10" s="77" t="inlineStr">
        <is>
          <t>J</t>
        </is>
      </c>
      <c r="AM10" s="77" t="inlineStr">
        <is>
          <t>T</t>
        </is>
      </c>
    </row>
    <row r="11" ht="26.25" customHeight="1">
      <c r="A11" s="15" t="inlineStr">
        <is>
          <t>JAN</t>
        </is>
      </c>
      <c r="B11" s="8" t="inlineStr">
        <is>
          <t>H</t>
        </is>
      </c>
      <c r="C11" s="10" t="n"/>
      <c r="D11" s="16" t="n"/>
      <c r="E11" s="16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  <c r="O11" s="10" t="n"/>
      <c r="P11" s="10" t="n"/>
      <c r="Q11" s="10" t="n"/>
      <c r="R11" s="16" t="n"/>
      <c r="S11" s="16" t="n"/>
      <c r="T11" s="10" t="n"/>
      <c r="U11" s="10" t="n"/>
      <c r="V11" s="10" t="n"/>
      <c r="W11" s="10" t="n"/>
      <c r="X11" s="10" t="n"/>
      <c r="Y11" s="16" t="n"/>
      <c r="Z11" s="16" t="n"/>
      <c r="AA11" s="10" t="n"/>
      <c r="AB11" s="10" t="n"/>
      <c r="AC11" s="10" t="n"/>
      <c r="AD11" s="10" t="n"/>
      <c r="AE11" s="10" t="n"/>
      <c r="AF11" s="16" t="n"/>
      <c r="AH11" s="81">
        <f>COUNTIF($B11:$AF11,"H")</f>
        <v/>
      </c>
      <c r="AI11" s="114">
        <f>COUNTIF($B11:$AF11,"P")+COUNTIF($B11:$AF11,"PH")*0.5</f>
        <v/>
      </c>
      <c r="AJ11" s="114">
        <f>COUNTIF($B11:$AF11,"PB")+COUNTIF($B11:$AF11,"PBH")*0.5</f>
        <v/>
      </c>
      <c r="AK11" s="114">
        <f>COUNTIF($B11:$AF11,"B")</f>
        <v/>
      </c>
      <c r="AL11" s="114">
        <f>COUNTIF($B11:$AF11,"J")</f>
        <v/>
      </c>
      <c r="AM11" s="114">
        <f>COUNTIF($B11:$AF11,"T")</f>
        <v/>
      </c>
    </row>
    <row r="12" ht="26.25" customHeight="1">
      <c r="A12" s="15" t="inlineStr">
        <is>
          <t>FEB</t>
        </is>
      </c>
      <c r="B12" s="16" t="n"/>
      <c r="C12" s="10" t="n"/>
      <c r="D12" s="10" t="n"/>
      <c r="E12" s="10" t="n"/>
      <c r="F12" s="10" t="n"/>
      <c r="G12" s="10" t="n"/>
      <c r="H12" s="16" t="n"/>
      <c r="I12" s="16" t="n"/>
      <c r="J12" s="10" t="n"/>
      <c r="K12" s="10" t="n"/>
      <c r="L12" s="10" t="n"/>
      <c r="M12" s="10" t="n"/>
      <c r="N12" s="10" t="n"/>
      <c r="O12" s="16" t="n"/>
      <c r="P12" s="16" t="n"/>
      <c r="Q12" s="10" t="n"/>
      <c r="R12" s="10" t="n"/>
      <c r="S12" s="10" t="n"/>
      <c r="T12" s="10" t="n"/>
      <c r="U12" s="10" t="n"/>
      <c r="V12" s="16" t="n"/>
      <c r="W12" s="16" t="n"/>
      <c r="X12" s="10" t="n"/>
      <c r="Y12" s="10" t="n"/>
      <c r="Z12" s="10" t="n"/>
      <c r="AA12" s="10" t="n"/>
      <c r="AB12" s="10" t="n"/>
      <c r="AC12" s="16" t="n"/>
      <c r="AD12" s="18" t="n"/>
      <c r="AE12" s="18" t="n"/>
      <c r="AF12" s="18" t="n"/>
      <c r="AH12" s="81">
        <f>COUNTIF($B12:$AF12,"H")</f>
        <v/>
      </c>
      <c r="AI12" s="114">
        <f>COUNTIF($B12:$AF12,"P")+COUNTIF($B12:$AF12,"PH")*0.5</f>
        <v/>
      </c>
      <c r="AJ12" s="114">
        <f>COUNTIF($B12:$AF12,"PB")+COUNTIF($B12:$AF12,"PBH")*0.5</f>
        <v/>
      </c>
      <c r="AK12" s="114">
        <f>COUNTIF($B12:$AF12,"B")</f>
        <v/>
      </c>
      <c r="AL12" s="114">
        <f>COUNTIF($B12:$AF12,"J")</f>
        <v/>
      </c>
      <c r="AM12" s="114">
        <f>COUNTIF($B12:$AF12,"T")</f>
        <v/>
      </c>
    </row>
    <row r="13" ht="26.25" customHeight="1">
      <c r="A13" s="15" t="inlineStr">
        <is>
          <t>MAR</t>
        </is>
      </c>
      <c r="B13" s="16" t="n"/>
      <c r="C13" s="10" t="n"/>
      <c r="D13" s="10" t="n"/>
      <c r="E13" s="10" t="n"/>
      <c r="F13" s="10" t="n"/>
      <c r="G13" s="10" t="n"/>
      <c r="H13" s="16" t="n"/>
      <c r="I13" s="16" t="n"/>
      <c r="J13" s="10" t="n"/>
      <c r="K13" s="10" t="n"/>
      <c r="L13" s="10" t="n"/>
      <c r="M13" s="10" t="n"/>
      <c r="N13" s="10" t="n"/>
      <c r="O13" s="16" t="n"/>
      <c r="P13" s="16" t="n"/>
      <c r="Q13" s="10" t="n"/>
      <c r="R13" s="10" t="n"/>
      <c r="S13" s="10" t="n"/>
      <c r="T13" s="10" t="n"/>
      <c r="U13" s="10" t="n"/>
      <c r="V13" s="16" t="n"/>
      <c r="W13" s="16" t="n"/>
      <c r="X13" s="10" t="n"/>
      <c r="Y13" s="10" t="n"/>
      <c r="Z13" s="10" t="n"/>
      <c r="AA13" s="10" t="n"/>
      <c r="AB13" s="10" t="n"/>
      <c r="AC13" s="16" t="n"/>
      <c r="AD13" s="16" t="n"/>
      <c r="AE13" s="10" t="n"/>
      <c r="AF13" s="10" t="n"/>
      <c r="AH13" s="81">
        <f>COUNTIF($B13:$AF13,"H")</f>
        <v/>
      </c>
      <c r="AI13" s="114">
        <f>COUNTIF($B13:$AF13,"P")+COUNTIF($B13:$AF13,"PH")*0.5</f>
        <v/>
      </c>
      <c r="AJ13" s="114">
        <f>COUNTIF($B13:$AF13,"PB")+COUNTIF($B13:$AF13,"PBH")*0.5</f>
        <v/>
      </c>
      <c r="AK13" s="114">
        <f>COUNTIF($B13:$AF13,"B")</f>
        <v/>
      </c>
      <c r="AL13" s="114">
        <f>COUNTIF($B13:$AF13,"J")</f>
        <v/>
      </c>
      <c r="AM13" s="114">
        <f>COUNTIF($B13:$AF13,"T")</f>
        <v/>
      </c>
    </row>
    <row r="14" ht="26.25" customHeight="1">
      <c r="A14" s="15" t="inlineStr">
        <is>
          <t>APR</t>
        </is>
      </c>
      <c r="B14" s="10" t="n"/>
      <c r="C14" s="10" t="n"/>
      <c r="D14" s="10" t="n"/>
      <c r="E14" s="16" t="n"/>
      <c r="F14" s="16" t="n"/>
      <c r="G14" s="10" t="n"/>
      <c r="H14" s="10" t="n"/>
      <c r="I14" s="10" t="n"/>
      <c r="J14" s="10" t="n"/>
      <c r="K14" s="10" t="n"/>
      <c r="L14" s="16" t="n"/>
      <c r="M14" s="16" t="n"/>
      <c r="N14" s="10" t="n"/>
      <c r="O14" s="10" t="n"/>
      <c r="P14" s="10" t="n"/>
      <c r="Q14" s="19" t="n"/>
      <c r="R14" s="10" t="n"/>
      <c r="S14" s="16" t="n"/>
      <c r="T14" s="16" t="n"/>
      <c r="U14" s="10" t="n"/>
      <c r="V14" s="10" t="n"/>
      <c r="W14" s="10" t="n"/>
      <c r="X14" s="10" t="n"/>
      <c r="Y14" s="10" t="n"/>
      <c r="Z14" s="16" t="n"/>
      <c r="AA14" s="16" t="n"/>
      <c r="AB14" s="10" t="n"/>
      <c r="AC14" s="10" t="n"/>
      <c r="AD14" s="10" t="n"/>
      <c r="AE14" s="10" t="n"/>
      <c r="AF14" s="18" t="n"/>
      <c r="AH14" s="81">
        <f>COUNTIF($B14:$AF14,"H")</f>
        <v/>
      </c>
      <c r="AI14" s="114">
        <f>COUNTIF($B14:$AF14,"P")+COUNTIF($B14:$AF14,"PH")*0.5</f>
        <v/>
      </c>
      <c r="AJ14" s="114">
        <f>COUNTIF($B14:$AF14,"PB")+COUNTIF($B14:$AF14,"PBH")*0.5</f>
        <v/>
      </c>
      <c r="AK14" s="114">
        <f>COUNTIF($B14:$AF14,"B")</f>
        <v/>
      </c>
      <c r="AL14" s="114">
        <f>COUNTIF($B14:$AF14,"J")</f>
        <v/>
      </c>
      <c r="AM14" s="114">
        <f>COUNTIF($B14:$AF14,"T")</f>
        <v/>
      </c>
    </row>
    <row r="15" ht="26.25" customHeight="1">
      <c r="A15" s="15" t="inlineStr">
        <is>
          <t>MAY</t>
        </is>
      </c>
      <c r="B15" s="10" t="n"/>
      <c r="C15" s="16" t="n"/>
      <c r="D15" s="16" t="n"/>
      <c r="E15" s="10" t="n"/>
      <c r="F15" s="10" t="n"/>
      <c r="G15" s="10" t="n"/>
      <c r="H15" s="10" t="n"/>
      <c r="I15" s="10" t="n"/>
      <c r="J15" s="16" t="n"/>
      <c r="K15" s="16" t="n"/>
      <c r="L15" s="10" t="n"/>
      <c r="M15" s="10" t="n"/>
      <c r="N15" s="10" t="n"/>
      <c r="O15" s="10" t="n"/>
      <c r="P15" s="10" t="n"/>
      <c r="Q15" s="16" t="n"/>
      <c r="R15" s="16" t="n"/>
      <c r="S15" s="10" t="n"/>
      <c r="T15" s="10" t="n"/>
      <c r="U15" s="10" t="n"/>
      <c r="V15" s="10" t="n"/>
      <c r="W15" s="10" t="n"/>
      <c r="X15" s="16" t="n"/>
      <c r="Y15" s="16" t="n"/>
      <c r="Z15" s="8" t="inlineStr">
        <is>
          <t>H</t>
        </is>
      </c>
      <c r="AA15" s="10" t="n"/>
      <c r="AB15" s="10" t="n"/>
      <c r="AC15" s="10" t="n"/>
      <c r="AD15" s="10" t="n"/>
      <c r="AE15" s="16" t="n"/>
      <c r="AF15" s="16" t="n"/>
      <c r="AH15" s="81">
        <f>COUNTIF($B15:$AF15,"H")</f>
        <v/>
      </c>
      <c r="AI15" s="114">
        <f>COUNTIF($B15:$AF15,"P")+COUNTIF($B15:$AF15,"PH")*0.5</f>
        <v/>
      </c>
      <c r="AJ15" s="114">
        <f>COUNTIF($B15:$AF15,"PB")+COUNTIF($B15:$AF15,"PBH")*0.5</f>
        <v/>
      </c>
      <c r="AK15" s="114">
        <f>COUNTIF($B15:$AF15,"B")</f>
        <v/>
      </c>
      <c r="AL15" s="114">
        <f>COUNTIF($B15:$AF15,"J")</f>
        <v/>
      </c>
      <c r="AM15" s="114">
        <f>COUNTIF($B15:$AF15,"T")</f>
        <v/>
      </c>
    </row>
    <row r="16" ht="26.25" customHeight="1">
      <c r="A16" s="15" t="inlineStr">
        <is>
          <t>JUN</t>
        </is>
      </c>
      <c r="B16" s="10" t="n"/>
      <c r="C16" s="10" t="n"/>
      <c r="D16" s="10" t="n"/>
      <c r="E16" s="8" t="inlineStr">
        <is>
          <t>H</t>
        </is>
      </c>
      <c r="F16" s="10" t="n"/>
      <c r="G16" s="16" t="n"/>
      <c r="H16" s="16" t="n"/>
      <c r="I16" s="10" t="n"/>
      <c r="J16" s="10" t="n"/>
      <c r="K16" s="10" t="n"/>
      <c r="L16" s="10" t="n"/>
      <c r="M16" s="10" t="n"/>
      <c r="N16" s="16" t="n"/>
      <c r="O16" s="16" t="n"/>
      <c r="P16" s="10" t="n"/>
      <c r="R16" s="10" t="n"/>
      <c r="S16" s="10" t="n"/>
      <c r="T16" s="10" t="n"/>
      <c r="U16" s="16" t="n"/>
      <c r="V16" s="16" t="n"/>
      <c r="W16" s="10" t="n"/>
      <c r="X16" s="10" t="n"/>
      <c r="Y16" s="10" t="n"/>
      <c r="Z16" s="10" t="n"/>
      <c r="AA16" s="10" t="n"/>
      <c r="AB16" s="16" t="n"/>
      <c r="AC16" s="16" t="n"/>
      <c r="AD16" s="10" t="n"/>
      <c r="AE16" s="10" t="n"/>
      <c r="AF16" s="18" t="n"/>
      <c r="AH16" s="81">
        <f>COUNTIF($B16:$AF16,"H")</f>
        <v/>
      </c>
      <c r="AI16" s="114">
        <f>COUNTIF($B16:$AF16,"P")+COUNTIF($B16:$AF16,"PH")*0.5</f>
        <v/>
      </c>
      <c r="AJ16" s="114">
        <f>COUNTIF($B16:$AF16,"PB")+COUNTIF($B16:$AF16,"PBH")*0.5</f>
        <v/>
      </c>
      <c r="AK16" s="114">
        <f>COUNTIF($B16:$AF16,"B")</f>
        <v/>
      </c>
      <c r="AL16" s="114">
        <f>COUNTIF($B16:$AF16,"J")</f>
        <v/>
      </c>
      <c r="AM16" s="114">
        <f>COUNTIF($B16:$AF16,"T")</f>
        <v/>
      </c>
    </row>
    <row r="17" ht="26.25" customHeight="1">
      <c r="A17" s="15" t="inlineStr">
        <is>
          <t>JUL</t>
        </is>
      </c>
      <c r="B17" s="10" t="n"/>
      <c r="C17" s="10" t="n"/>
      <c r="D17" s="10" t="n"/>
      <c r="E17" s="16" t="n"/>
      <c r="F17" s="16" t="n"/>
      <c r="G17" s="10" t="n"/>
      <c r="H17" s="10" t="n"/>
      <c r="I17" s="10" t="n"/>
      <c r="J17" s="10" t="n"/>
      <c r="K17" s="10" t="n"/>
      <c r="L17" s="20" t="n"/>
      <c r="M17" s="16" t="n"/>
      <c r="N17" s="10" t="n"/>
      <c r="O17" s="10" t="n"/>
      <c r="P17" s="10" t="n"/>
      <c r="Q17" s="10" t="n"/>
      <c r="R17" s="10" t="n"/>
      <c r="S17" s="16" t="n"/>
      <c r="T17" s="16" t="n"/>
      <c r="U17" s="10" t="n"/>
      <c r="V17" s="10" t="n"/>
      <c r="W17" s="10" t="n"/>
      <c r="X17" s="10" t="n"/>
      <c r="Y17" s="10" t="n"/>
      <c r="Z17" s="16" t="n"/>
      <c r="AA17" s="16" t="n"/>
      <c r="AB17" s="10" t="n"/>
      <c r="AC17" s="10" t="n"/>
      <c r="AD17" s="10" t="n"/>
      <c r="AE17" s="10" t="n"/>
      <c r="AF17" s="10" t="n"/>
      <c r="AH17" s="81">
        <f>COUNTIF($B17:$AF17,"H")</f>
        <v/>
      </c>
      <c r="AI17" s="114">
        <f>COUNTIF($B17:$AF17,"P")+COUNTIF($B17:$AF17,"PH")*0.5</f>
        <v/>
      </c>
      <c r="AJ17" s="114">
        <f>COUNTIF($B17:$AF17,"PB")+COUNTIF($B17:$AF17,"PBH")*0.5</f>
        <v/>
      </c>
      <c r="AK17" s="114">
        <f>COUNTIF($B17:$AF17,"B")</f>
        <v/>
      </c>
      <c r="AL17" s="114">
        <f>COUNTIF($B17:$AF17,"J")</f>
        <v/>
      </c>
      <c r="AM17" s="114">
        <f>COUNTIF($B17:$AF17,"T")</f>
        <v/>
      </c>
    </row>
    <row r="18" ht="26.25" customHeight="1">
      <c r="A18" s="15" t="inlineStr">
        <is>
          <t>AUG</t>
        </is>
      </c>
      <c r="B18" s="16" t="n"/>
      <c r="C18" s="16" t="n"/>
      <c r="D18" s="10" t="n"/>
      <c r="E18" s="10" t="n"/>
      <c r="F18" s="10" t="n"/>
      <c r="G18" s="10" t="n"/>
      <c r="H18" s="10" t="n"/>
      <c r="I18" s="20" t="n"/>
      <c r="J18" s="21" t="n"/>
      <c r="K18" s="10" t="n"/>
      <c r="L18" s="10" t="n"/>
      <c r="M18" s="10" t="n"/>
      <c r="N18" s="10" t="n"/>
      <c r="O18" s="10" t="n"/>
      <c r="P18" s="16" t="n"/>
      <c r="Q18" s="16" t="n"/>
      <c r="R18" s="10" t="n"/>
      <c r="S18" s="10" t="n"/>
      <c r="T18" s="10" t="n"/>
      <c r="U18" s="10" t="n"/>
      <c r="V18" s="10" t="n"/>
      <c r="W18" s="16" t="n"/>
      <c r="X18" s="16" t="n"/>
      <c r="Y18" s="10" t="n"/>
      <c r="Z18" s="10" t="n"/>
      <c r="AA18" s="10" t="n"/>
      <c r="AB18" s="10" t="n"/>
      <c r="AC18" s="10" t="n"/>
      <c r="AD18" s="16" t="n"/>
      <c r="AE18" s="16" t="n"/>
      <c r="AF18" s="10" t="n"/>
      <c r="AH18" s="81">
        <f>COUNTIF($B18:$AF18,"H")</f>
        <v/>
      </c>
      <c r="AI18" s="114">
        <f>COUNTIF($B18:$AF18,"P")+COUNTIF($B18:$AF18,"PH")*0.5</f>
        <v/>
      </c>
      <c r="AJ18" s="114">
        <f>COUNTIF($B18:$AF18,"PB")+COUNTIF($B18:$AF18,"PBH")*0.5</f>
        <v/>
      </c>
      <c r="AK18" s="114">
        <f>COUNTIF($B18:$AF18,"B")</f>
        <v/>
      </c>
      <c r="AL18" s="114">
        <f>COUNTIF($B18:$AF18,"J")</f>
        <v/>
      </c>
      <c r="AM18" s="114">
        <f>COUNTIF($B18:$AF18,"T")</f>
        <v/>
      </c>
    </row>
    <row r="19" ht="26.25" customHeight="1">
      <c r="A19" s="15" t="inlineStr">
        <is>
          <t>SEP</t>
        </is>
      </c>
      <c r="B19" s="10" t="n"/>
      <c r="C19" s="10" t="n"/>
      <c r="D19" s="10" t="n"/>
      <c r="E19" s="10" t="n"/>
      <c r="F19" s="16" t="n"/>
      <c r="G19" s="16" t="n"/>
      <c r="H19" s="8" t="inlineStr">
        <is>
          <t>H</t>
        </is>
      </c>
      <c r="I19" s="10" t="n"/>
      <c r="J19" s="10" t="n"/>
      <c r="K19" s="10" t="n"/>
      <c r="L19" s="10" t="n"/>
      <c r="M19" s="16" t="n"/>
      <c r="N19" s="16" t="n"/>
      <c r="O19" s="10" t="n"/>
      <c r="P19" s="10" t="n"/>
      <c r="Q19" s="10" t="n"/>
      <c r="R19" s="10" t="n"/>
      <c r="S19" s="10" t="n"/>
      <c r="T19" s="16" t="n"/>
      <c r="U19" s="16" t="n"/>
      <c r="V19" s="10" t="n"/>
      <c r="W19" s="10" t="n"/>
      <c r="X19" s="10" t="n"/>
      <c r="Y19" s="10" t="n"/>
      <c r="Z19" s="10" t="n"/>
      <c r="AA19" s="16" t="n"/>
      <c r="AB19" s="16" t="n"/>
      <c r="AC19" s="10" t="n"/>
      <c r="AD19" s="10" t="n"/>
      <c r="AE19" s="10" t="n"/>
      <c r="AF19" s="18" t="n"/>
      <c r="AH19" s="81">
        <f>COUNTIF($B19:$AF19,"H")</f>
        <v/>
      </c>
      <c r="AI19" s="114">
        <f>COUNTIF($B19:$AF19,"P")+COUNTIF($B19:$AF19,"PH")*0.5</f>
        <v/>
      </c>
      <c r="AJ19" s="114">
        <f>COUNTIF($B19:$AF19,"PB")+COUNTIF($B19:$AF19,"PBH")*0.5</f>
        <v/>
      </c>
      <c r="AK19" s="114">
        <f>COUNTIF($B19:$AF19,"B")</f>
        <v/>
      </c>
      <c r="AL19" s="114">
        <f>COUNTIF($B19:$AF19,"J")</f>
        <v/>
      </c>
      <c r="AM19" s="114">
        <f>COUNTIF($B19:$AF19,"T")</f>
        <v/>
      </c>
    </row>
    <row r="20" ht="26.25" customHeight="1">
      <c r="A20" s="15" t="inlineStr">
        <is>
          <t>OCT</t>
        </is>
      </c>
      <c r="B20" s="10" t="n"/>
      <c r="C20" s="10" t="n"/>
      <c r="D20" s="16" t="n"/>
      <c r="E20" s="16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  <c r="O20" s="10" t="n"/>
      <c r="P20" s="10" t="n"/>
      <c r="Q20" s="10" t="n"/>
      <c r="R20" s="16" t="n"/>
      <c r="S20" s="16" t="n"/>
      <c r="T20" s="10" t="n"/>
      <c r="U20" s="10" t="n"/>
      <c r="V20" s="10" t="n"/>
      <c r="W20" s="10" t="n"/>
      <c r="X20" s="10" t="n"/>
      <c r="Y20" s="16" t="n"/>
      <c r="Z20" s="16" t="n"/>
      <c r="AA20" s="10" t="n"/>
      <c r="AB20" s="10" t="n"/>
      <c r="AC20" s="10" t="n"/>
      <c r="AD20" s="10" t="n"/>
      <c r="AE20" s="10" t="n"/>
      <c r="AF20" s="16" t="n"/>
      <c r="AH20" s="81">
        <f>COUNTIF($B20:$AF20,"H")</f>
        <v/>
      </c>
      <c r="AI20" s="114">
        <f>COUNTIF($B20:$AF20,"P")+COUNTIF($B20:$AF20,"PH")*0.5</f>
        <v/>
      </c>
      <c r="AJ20" s="114">
        <f>COUNTIF($B20:$AF20,"PB")+COUNTIF($B20:$AF20,"PBH")*0.5</f>
        <v/>
      </c>
      <c r="AK20" s="114">
        <f>COUNTIF($B20:$AF20,"B")</f>
        <v/>
      </c>
      <c r="AL20" s="114">
        <f>COUNTIF($B20:$AF20,"J")</f>
        <v/>
      </c>
      <c r="AM20" s="114">
        <f>COUNTIF($B20:$AF20,"T")</f>
        <v/>
      </c>
    </row>
    <row r="21" ht="26.25" customHeight="1">
      <c r="A21" s="15" t="inlineStr">
        <is>
          <t>NOV</t>
        </is>
      </c>
      <c r="B21" s="16" t="n"/>
      <c r="C21" s="10" t="n"/>
      <c r="D21" s="10" t="n"/>
      <c r="E21" s="10" t="n"/>
      <c r="F21" s="10" t="n"/>
      <c r="G21" s="10" t="n"/>
      <c r="H21" s="16" t="n"/>
      <c r="I21" s="16" t="n"/>
      <c r="J21" s="10" t="n"/>
      <c r="K21" s="10" t="n"/>
      <c r="L21" s="10" t="n"/>
      <c r="M21" s="10" t="n"/>
      <c r="N21" s="10" t="n"/>
      <c r="O21" s="16" t="n"/>
      <c r="P21" s="16" t="n"/>
      <c r="Q21" s="10" t="n"/>
      <c r="R21" s="10" t="n"/>
      <c r="S21" s="10" t="n"/>
      <c r="T21" s="10" t="n"/>
      <c r="U21" s="10" t="n"/>
      <c r="V21" s="16" t="n"/>
      <c r="W21" s="16" t="n"/>
      <c r="X21" s="10" t="n"/>
      <c r="Y21" s="10" t="n"/>
      <c r="Z21" s="10" t="n"/>
      <c r="AA21" s="8" t="inlineStr">
        <is>
          <t>H</t>
        </is>
      </c>
      <c r="AB21" s="10" t="n"/>
      <c r="AC21" s="16" t="n"/>
      <c r="AD21" s="16" t="n"/>
      <c r="AE21" s="10" t="n"/>
      <c r="AF21" s="18" t="n"/>
      <c r="AH21" s="81">
        <f>COUNTIF($B21:$AF21,"H")</f>
        <v/>
      </c>
      <c r="AI21" s="114">
        <f>COUNTIF($B21:$AF21,"P")+COUNTIF($B21:$AF21,"PH")*0.5</f>
        <v/>
      </c>
      <c r="AJ21" s="114">
        <f>COUNTIF($B21:$AF21,"PB")+COUNTIF($B21:$AF21,"PBH")*0.5</f>
        <v/>
      </c>
      <c r="AK21" s="114">
        <f>COUNTIF($B21:$AF21,"B")</f>
        <v/>
      </c>
      <c r="AL21" s="114">
        <f>COUNTIF($B21:$AF21,"J")</f>
        <v/>
      </c>
      <c r="AM21" s="114">
        <f>COUNTIF($B21:$AF21,"T")</f>
        <v/>
      </c>
    </row>
    <row r="22" ht="26.25" customHeight="1">
      <c r="A22" s="15" t="inlineStr">
        <is>
          <t>DEC</t>
        </is>
      </c>
      <c r="B22" s="10" t="n"/>
      <c r="C22" s="10" t="n"/>
      <c r="D22" s="10" t="n"/>
      <c r="E22" s="10" t="n"/>
      <c r="F22" s="16" t="n"/>
      <c r="G22" s="16" t="n"/>
      <c r="H22" s="10" t="n"/>
      <c r="I22" s="10" t="n"/>
      <c r="J22" s="10" t="n"/>
      <c r="K22" s="10" t="n"/>
      <c r="L22" s="10" t="n"/>
      <c r="M22" s="16" t="n"/>
      <c r="N22" s="16" t="n"/>
      <c r="O22" s="10" t="n"/>
      <c r="P22" s="10" t="n"/>
      <c r="Q22" s="10" t="n"/>
      <c r="R22" s="10" t="n"/>
      <c r="S22" s="10" t="n"/>
      <c r="T22" s="16" t="n"/>
      <c r="U22" s="16" t="n"/>
      <c r="V22" s="10" t="n"/>
      <c r="W22" s="10" t="n"/>
      <c r="X22" s="10" t="n"/>
      <c r="Y22" s="10" t="n"/>
      <c r="Z22" s="8" t="inlineStr">
        <is>
          <t>H</t>
        </is>
      </c>
      <c r="AA22" s="16" t="n"/>
      <c r="AB22" s="16" t="n"/>
      <c r="AC22" s="10" t="n"/>
      <c r="AD22" s="10" t="n"/>
      <c r="AE22" s="10" t="n"/>
      <c r="AF22" s="10" t="n"/>
      <c r="AH22" s="81">
        <f>COUNTIF($B22:$AF22,"H")</f>
        <v/>
      </c>
      <c r="AI22" s="114">
        <f>COUNTIF($B22:$AF22,"P")+COUNTIF($B22:$AF22,"PH")*0.5</f>
        <v/>
      </c>
      <c r="AJ22" s="114">
        <f>COUNTIF($B22:$AF22,"PB")+COUNTIF($B22:$AF22,"PBH")*0.5</f>
        <v/>
      </c>
      <c r="AK22" s="114">
        <f>COUNTIF($B22:$AF22,"B")</f>
        <v/>
      </c>
      <c r="AL22" s="114">
        <f>COUNTIF($B22:$AF22,"J")</f>
        <v/>
      </c>
      <c r="AM22" s="114">
        <f>COUNTIF($B22:$AF22,"T")</f>
        <v/>
      </c>
    </row>
    <row r="23" ht="26.25" customHeight="1">
      <c r="AH23" s="22">
        <f>SUM(AH11:AH22)</f>
        <v/>
      </c>
      <c r="AI23" s="115">
        <f>SUM(AI11:AI22)</f>
        <v/>
      </c>
      <c r="AJ23" s="116">
        <f>SUM(AJ11:AJ22)</f>
        <v/>
      </c>
      <c r="AK23" s="115">
        <f>SUM(AK11:AK22)</f>
        <v/>
      </c>
      <c r="AL23" s="115">
        <f>SUM(AL11:AL22)</f>
        <v/>
      </c>
      <c r="AM23" s="115">
        <f>SUM(AM11:AM22)</f>
        <v/>
      </c>
      <c r="AP23" s="117" t="n"/>
    </row>
    <row r="24" ht="26.25" customHeight="1">
      <c r="AD24" s="81" t="inlineStr">
        <is>
          <t xml:space="preserve"> </t>
        </is>
      </c>
    </row>
    <row r="25" ht="26.25" customHeight="1">
      <c r="AI25" s="118" t="n"/>
    </row>
  </sheetData>
  <mergeCells count="18">
    <mergeCell ref="D6:E6"/>
    <mergeCell ref="F4:G4"/>
    <mergeCell ref="J4:K4"/>
    <mergeCell ref="D7:E7"/>
    <mergeCell ref="H6:I6"/>
    <mergeCell ref="J5:K5"/>
    <mergeCell ref="J6:K6"/>
    <mergeCell ref="AH9:AM9"/>
    <mergeCell ref="H7:I7"/>
    <mergeCell ref="F5:G5"/>
    <mergeCell ref="J7:K7"/>
    <mergeCell ref="D5:E5"/>
    <mergeCell ref="F6:G6"/>
    <mergeCell ref="D4:E4"/>
    <mergeCell ref="H5:I5"/>
    <mergeCell ref="H4:I4"/>
    <mergeCell ref="A7:C7"/>
    <mergeCell ref="F7:G7"/>
  </mergeCells>
  <conditionalFormatting sqref="B4:C4 D7:K7">
    <cfRule type="cellIs" priority="32" operator="equal" dxfId="0">
      <formula>"PBH"</formula>
    </cfRule>
    <cfRule type="containsText" priority="33" operator="containsText" dxfId="0" text="PH">
      <formula>NOT(ISERROR(SEARCH("PH",B4)))</formula>
    </cfRule>
  </conditionalFormatting>
  <conditionalFormatting sqref="B4:C4">
    <cfRule type="containsText" priority="35" operator="containsText" dxfId="0" text="PBH">
      <formula>NOT(ISERROR(SEARCH("PBH",B4)))</formula>
    </cfRule>
  </conditionalFormatting>
  <conditionalFormatting sqref="B1:AF3 B9:AF10 B23:AF1048576 L4:AF4 L5:R8 Z5:AF8">
    <cfRule type="cellIs" priority="37" operator="equal" dxfId="0">
      <formula>"PH"</formula>
    </cfRule>
  </conditionalFormatting>
  <conditionalFormatting sqref="B1:AF3">
    <cfRule type="cellIs" priority="36" operator="equal" dxfId="0">
      <formula>"PBH"</formula>
    </cfRule>
  </conditionalFormatting>
  <conditionalFormatting sqref="B9:AF15 B16:P16 B17:AF1048576 R16:AF16">
    <cfRule type="cellIs" priority="5" operator="equal" dxfId="0">
      <formula>"PBH"</formula>
    </cfRule>
  </conditionalFormatting>
  <conditionalFormatting sqref="B11:AF15 B16:P16 B17:AF22 R16:AF16">
    <cfRule type="containsText" priority="6" operator="containsText" dxfId="0" text="PH">
      <formula>NOT(ISERROR(SEARCH("PH",B11)))</formula>
    </cfRule>
    <cfRule type="cellIs" priority="7" operator="equal" dxfId="6">
      <formula>"H"</formula>
    </cfRule>
    <cfRule type="cellIs" priority="8" operator="equal" dxfId="5">
      <formula>"T"</formula>
    </cfRule>
    <cfRule type="cellIs" priority="9" operator="equal" dxfId="0">
      <formula>"PB"</formula>
    </cfRule>
    <cfRule type="cellIs" priority="10" operator="equal" dxfId="3">
      <formula>"B"</formula>
    </cfRule>
    <cfRule type="cellIs" priority="11" operator="equal" dxfId="2" stopIfTrue="1">
      <formula>"J"</formula>
    </cfRule>
    <cfRule type="cellIs" priority="12" operator="equal" dxfId="1">
      <formula>"R"</formula>
    </cfRule>
    <cfRule type="cellIs" priority="13" operator="equal" dxfId="0">
      <formula>"P"</formula>
    </cfRule>
  </conditionalFormatting>
  <conditionalFormatting sqref="D4:D6 F4:F6 H4:H6 J4:J6">
    <cfRule type="cellIs" priority="1" operator="equal" dxfId="0">
      <formula>"PBH"</formula>
    </cfRule>
    <cfRule type="containsText" priority="2" operator="containsText" dxfId="0" text="PH">
      <formula>NOT(ISERROR(SEARCH("PH",D4)))</formula>
    </cfRule>
  </conditionalFormatting>
  <conditionalFormatting sqref="L4:AF8">
    <cfRule type="cellIs" priority="21" operator="equal" dxfId="0">
      <formula>"PBH"</formula>
    </cfRule>
  </conditionalFormatting>
  <conditionalFormatting sqref="M5:AA8">
    <cfRule type="containsText" priority="22" operator="containsText" dxfId="0" text="PH">
      <formula>NOT(ISERROR(SEARCH("PH",M5)))</formula>
    </cfRule>
  </conditionalFormatting>
  <conditionalFormatting sqref="S5">
    <cfRule type="cellIs" priority="14" operator="equal" dxfId="6">
      <formula>"H"</formula>
    </cfRule>
    <cfRule type="cellIs" priority="15" operator="equal" dxfId="5">
      <formula>"T"</formula>
    </cfRule>
    <cfRule type="cellIs" priority="16" operator="equal" dxfId="0">
      <formula>"PB"</formula>
    </cfRule>
    <cfRule type="cellIs" priority="17" operator="equal" dxfId="3">
      <formula>"B"</formula>
    </cfRule>
    <cfRule type="cellIs" priority="18" operator="equal" dxfId="2" stopIfTrue="1">
      <formula>"J"</formula>
    </cfRule>
    <cfRule type="cellIs" priority="19" operator="equal" dxfId="1">
      <formula>"R"</formula>
    </cfRule>
    <cfRule type="cellIs" priority="20" operator="equal" dxfId="0">
      <formula>"P"</formula>
    </cfRule>
  </conditionalFormatting>
  <conditionalFormatting sqref="Y6">
    <cfRule type="cellIs" priority="23" operator="equal" dxfId="6">
      <formula>"H"</formula>
    </cfRule>
    <cfRule type="cellIs" priority="24" operator="equal" dxfId="5">
      <formula>"T"</formula>
    </cfRule>
    <cfRule type="cellIs" priority="25" operator="equal" dxfId="0">
      <formula>"PB"</formula>
    </cfRule>
    <cfRule type="cellIs" priority="26" operator="equal" dxfId="3">
      <formula>"B"</formula>
    </cfRule>
    <cfRule type="cellIs" priority="27" operator="equal" dxfId="2" stopIfTrue="1">
      <formula>"J"</formula>
    </cfRule>
    <cfRule type="cellIs" priority="28" operator="equal" dxfId="1">
      <formula>"R"</formula>
    </cfRule>
    <cfRule type="cellIs" priority="29" operator="equal" dxfId="0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Eileen Bennett</dc:creator>
  <dcterms:created xmlns:dcterms="http://purl.org/dc/terms/" xmlns:xsi="http://www.w3.org/2001/XMLSchema-instance" xsi:type="dcterms:W3CDTF">2025-08-04T20:54:37Z</dcterms:created>
  <dcterms:modified xmlns:dcterms="http://purl.org/dc/terms/" xmlns:xsi="http://www.w3.org/2001/XMLSchema-instance" xsi:type="dcterms:W3CDTF">2026-10-08T19:56:57Z</dcterms:modified>
  <cp:lastModifiedBy>Jennifer Andrade</cp:lastModifiedBy>
</cp:coreProperties>
</file>