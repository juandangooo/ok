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One-Pager" sheetId="3" state="visible" r:id="rId3"/>
    <sheet xmlns:r="http://schemas.openxmlformats.org/officeDocument/2006/relationships" name="Packages" sheetId="4" state="visible" r:id="rId4"/>
  </sheets>
  <definedNames>
    <definedName name="_xlnm.Print_Area" localSheetId="2">'One-Pager'!$A$1:$K$42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d, yyyy"/>
    <numFmt numFmtId="165" formatCode="mmm d, yyyy"/>
    <numFmt numFmtId="166" formatCode="0.000%"/>
    <numFmt numFmtId="167" formatCode="&quot;$&quot;#,##0"/>
  </numFmts>
  <fonts count="27">
    <font>
      <name val="Calibri"/>
      <family val="2"/>
      <color theme="1"/>
      <sz val="11"/>
      <scheme val="minor"/>
    </font>
    <font>
      <name val="Inter"/>
      <b val="1"/>
      <color rgb="00171717"/>
      <sz val="22"/>
    </font>
    <font>
      <name val="Inter"/>
      <color rgb="006B6B6B"/>
      <sz val="11"/>
    </font>
    <font>
      <name val="Inter"/>
      <b val="1"/>
      <color rgb="000096CF"/>
      <sz val="14"/>
    </font>
    <font>
      <name val="Inter"/>
      <b val="1"/>
      <color rgb="00171717"/>
      <sz val="11"/>
    </font>
    <font>
      <name val="Inter"/>
      <color rgb="006B6B6B"/>
      <sz val="10.5"/>
    </font>
    <font>
      <name val="Inter"/>
      <b val="1"/>
      <color rgb="00171717"/>
      <sz val="20"/>
    </font>
    <font>
      <name val="Inter"/>
      <color rgb="00171717"/>
      <sz val="10.5"/>
    </font>
    <font>
      <name val="Inter"/>
      <color rgb="006B6B6B"/>
      <sz val="9.5"/>
    </font>
    <font>
      <name val="Inter"/>
      <b val="1"/>
      <color rgb="006B6B6B"/>
      <sz val="9"/>
    </font>
    <font>
      <name val="Inter"/>
      <b val="1"/>
      <color rgb="00171717"/>
      <sz val="12"/>
    </font>
    <font>
      <name val="Inter"/>
      <b val="1"/>
      <color rgb="00171717"/>
      <sz val="16"/>
    </font>
    <font>
      <name val="Inter"/>
      <color rgb="006B6B6B"/>
      <sz val="10"/>
    </font>
    <font>
      <name val="Inter"/>
      <b val="1"/>
      <color rgb="00E8382F"/>
      <sz val="10"/>
    </font>
    <font>
      <name val="Inter"/>
      <color rgb="00A3A3A3"/>
      <sz val="8"/>
    </font>
    <font>
      <name val="Inter"/>
      <color rgb="006B6B6B"/>
      <sz val="9"/>
    </font>
    <font>
      <name val="Inter"/>
      <b val="1"/>
      <color rgb="00E8382F"/>
      <sz val="9"/>
    </font>
    <font>
      <name val="Inter"/>
      <b val="1"/>
      <color rgb="006B6B6B"/>
      <sz val="7.5"/>
    </font>
    <font>
      <name val="Inter"/>
      <color rgb="006B6B6B"/>
      <sz val="7.5"/>
    </font>
    <font>
      <name val="Inter"/>
      <b val="1"/>
      <color rgb="000096CF"/>
      <sz val="8.5"/>
    </font>
    <font>
      <name val="Inter"/>
      <b val="1"/>
      <color rgb="00171717"/>
      <sz val="36"/>
    </font>
    <font>
      <name val="Inter"/>
      <b val="1"/>
      <color rgb="00171717"/>
      <sz val="14"/>
    </font>
    <font>
      <name val="Inter"/>
      <color rgb="006B6B6B"/>
      <sz val="8.5"/>
    </font>
    <font>
      <name val="Inter"/>
      <color rgb="00171717"/>
      <sz val="9.5"/>
    </font>
    <font>
      <name val="Inter"/>
      <b val="1"/>
      <color rgb="00E8382F"/>
      <sz val="7.5"/>
    </font>
    <font>
      <name val="Inter"/>
      <b val="1"/>
      <color rgb="00171717"/>
      <sz val="32"/>
    </font>
    <font>
      <name val="Inter"/>
      <color rgb="00A3A3A3"/>
      <sz val="7.5"/>
    </font>
  </fonts>
  <fills count="3">
    <fill>
      <patternFill/>
    </fill>
    <fill>
      <patternFill patternType="gray125"/>
    </fill>
    <fill>
      <patternFill patternType="solid">
        <fgColor rgb="00EAF4FA"/>
        <bgColor rgb="00EAF4FA"/>
      </patternFill>
    </fill>
  </fills>
  <borders count="4">
    <border>
      <left/>
      <right/>
      <top/>
      <bottom/>
      <diagonal/>
    </border>
    <border>
      <bottom style="thin">
        <color rgb="00E7E5E0"/>
      </bottom>
    </border>
    <border>
      <top style="medium">
        <color rgb="00171717"/>
      </top>
    </border>
    <border>
      <left/>
      <right/>
      <top style="medium">
        <color rgb="00171717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1" fontId="7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left" vertical="center"/>
    </xf>
    <xf numFmtId="166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7" fontId="7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7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bottom"/>
    </xf>
    <xf numFmtId="167" fontId="21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2" pivotButton="0" quotePrefix="0" xfId="0"/>
    <xf numFmtId="167" fontId="25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/>
    </xf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92" customWidth="1" min="3" max="3"/>
  </cols>
  <sheetData>
    <row r="2" ht="34" customHeight="1">
      <c r="B2" s="1" t="inlineStr">
        <is>
          <t>Helix package quotes</t>
        </is>
      </c>
    </row>
    <row r="3">
      <c r="B3" s="2" t="inlineStr">
        <is>
          <t>Pick a package, enter the details, download the one-pager as a PDF.</t>
        </is>
      </c>
    </row>
    <row r="5">
      <c r="B5" s="3" t="n">
        <v>1</v>
      </c>
      <c r="C5" s="4" t="inlineStr">
        <is>
          <t>Quote</t>
        </is>
      </c>
    </row>
    <row r="6" ht="32" customHeight="1">
      <c r="C6" s="5" t="inlineStr">
        <is>
          <t>Choose the package from the dropdown, then fill in the blue cells. Add-ons are optional.</t>
        </is>
      </c>
    </row>
    <row r="8">
      <c r="B8" s="3" t="n">
        <v>2</v>
      </c>
      <c r="C8" s="4" t="inlineStr">
        <is>
          <t>One-Pager</t>
        </is>
      </c>
    </row>
    <row r="9" ht="32" customHeight="1">
      <c r="C9" s="5" t="inlineStr">
        <is>
          <t>This is the PDF. Check it, then File › Download › PDF. Use: Current sheet · Letter · Portrait · Fit to width · Margins: Narrow · uncheck Show gridlines.</t>
        </is>
      </c>
    </row>
    <row r="11">
      <c r="B11" s="3" t="n">
        <v>3</v>
      </c>
      <c r="C11" s="4" t="inlineStr">
        <is>
          <t>Packages</t>
        </is>
      </c>
    </row>
    <row r="12" ht="32" customHeight="1">
      <c r="C12" s="5" t="inlineStr">
        <is>
          <t>The package library. Change prices, wording, or add a package here once and every quote uses it. Rows marked PLACEHOLDER need real prices before anything goes out.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14" customWidth="1" min="4" max="4"/>
  </cols>
  <sheetData>
    <row r="1" ht="30" customHeight="1">
      <c r="A1" s="6" t="inlineStr">
        <is>
          <t>Quote</t>
        </is>
      </c>
    </row>
    <row r="2">
      <c r="A2" s="7" t="inlineStr">
        <is>
          <t>Fill in the blue cells. The One-Pager tab updates on its own.</t>
        </is>
      </c>
    </row>
    <row r="4">
      <c r="A4" s="7" t="inlineStr">
        <is>
          <t>Package</t>
        </is>
      </c>
      <c r="B4" s="8" t="inlineStr">
        <is>
          <t>Live Zoom Package</t>
        </is>
      </c>
    </row>
    <row r="5">
      <c r="A5" s="7" t="inlineStr">
        <is>
          <t>Client</t>
        </is>
      </c>
      <c r="B5" s="8" t="inlineStr">
        <is>
          <t>Helix</t>
        </is>
      </c>
    </row>
    <row r="6">
      <c r="A6" s="7" t="inlineStr">
        <is>
          <t>Event date</t>
        </is>
      </c>
      <c r="B6" s="9">
        <f>DATE(2026,10,22)</f>
        <v/>
      </c>
    </row>
    <row r="7">
      <c r="A7" s="7" t="inlineStr">
        <is>
          <t>Days</t>
        </is>
      </c>
      <c r="B7" s="10" t="n">
        <v>1</v>
      </c>
    </row>
    <row r="8">
      <c r="A8" s="7" t="inlineStr">
        <is>
          <t>Quote number</t>
        </is>
      </c>
      <c r="B8" s="8" t="inlineStr">
        <is>
          <t>0625</t>
        </is>
      </c>
    </row>
    <row r="9">
      <c r="A9" s="7" t="inlineStr">
        <is>
          <t>Issued</t>
        </is>
      </c>
      <c r="B9" s="11">
        <f>DATE(2026,10,28)</f>
        <v/>
      </c>
    </row>
    <row r="10">
      <c r="A10" s="7" t="inlineStr">
        <is>
          <t>Valid until</t>
        </is>
      </c>
      <c r="B10" s="11">
        <f>B9+30</f>
        <v/>
      </c>
    </row>
    <row r="11">
      <c r="A11" s="7" t="inlineStr">
        <is>
          <t>Tax rate</t>
        </is>
      </c>
      <c r="B11" s="12" t="n">
        <v>0</v>
      </c>
    </row>
    <row r="12">
      <c r="A12" s="7" t="inlineStr">
        <is>
          <t>Contact name</t>
        </is>
      </c>
      <c r="B12" s="8" t="inlineStr">
        <is>
          <t>Rick</t>
        </is>
      </c>
    </row>
    <row r="13">
      <c r="A13" s="7" t="inlineStr">
        <is>
          <t>Contact email</t>
        </is>
      </c>
      <c r="B13" s="8" t="inlineStr">
        <is>
          <t>Rick@368eventmanagement.com</t>
        </is>
      </c>
    </row>
    <row r="14">
      <c r="A14" s="7" t="inlineStr">
        <is>
          <t>Contact phone</t>
        </is>
      </c>
      <c r="B14" s="8" t="inlineStr">
        <is>
          <t>(201) 893-5224</t>
        </is>
      </c>
    </row>
    <row r="16">
      <c r="A16" s="4" t="inlineStr">
        <is>
          <t>Add-ons (optional)</t>
        </is>
      </c>
      <c r="B16" s="13" t="inlineStr">
        <is>
          <t>Shown after the package sections. Price is flat, not multiplied by days.</t>
        </is>
      </c>
    </row>
    <row r="17">
      <c r="A17" s="14" t="inlineStr"/>
      <c r="B17" s="14" t="inlineStr">
        <is>
          <t>Name</t>
        </is>
      </c>
      <c r="C17" s="14" t="inlineStr">
        <is>
          <t>Description</t>
        </is>
      </c>
      <c r="D17" s="14" t="inlineStr">
        <is>
          <t>Price</t>
        </is>
      </c>
    </row>
    <row r="18">
      <c r="A18" s="7" t="inlineStr">
        <is>
          <t>Add-on 1</t>
        </is>
      </c>
      <c r="B18" s="8" t="n"/>
      <c r="C18" s="8" t="n"/>
      <c r="D18" s="15" t="n"/>
    </row>
    <row r="19">
      <c r="A19" s="7" t="inlineStr">
        <is>
          <t>Add-on 2</t>
        </is>
      </c>
      <c r="B19" s="8" t="n"/>
      <c r="C19" s="8" t="n"/>
      <c r="D19" s="15" t="n"/>
    </row>
    <row r="21">
      <c r="A21" s="16" t="inlineStr">
        <is>
          <t>Total</t>
        </is>
      </c>
      <c r="B21" s="17">
        <f>'One-Pager'!B39</f>
        <v/>
      </c>
      <c r="C21" s="13" t="inlineStr">
        <is>
          <t>Same number as the One-Pager.</t>
        </is>
      </c>
    </row>
  </sheetData>
  <mergeCells count="1">
    <mergeCell ref="B16:D16"/>
  </mergeCells>
  <dataValidations count="1">
    <dataValidation sqref="B4" showDropDown="0" showInputMessage="0" showErrorMessage="0" allowBlank="0" type="list">
      <formula1>=Packages!$A$6:$A$25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M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75" customWidth="1" min="2" max="2"/>
    <col width="11.75" customWidth="1" min="3" max="3"/>
    <col width="11.75" customWidth="1" min="4" max="4"/>
    <col width="11.75" customWidth="1" min="5" max="5"/>
    <col width="2.5" customWidth="1" min="6" max="6"/>
    <col width="11.75" customWidth="1" min="7" max="7"/>
    <col width="11.75" customWidth="1" min="8" max="8"/>
    <col width="11.75" customWidth="1" min="9" max="9"/>
    <col width="11.75" customWidth="1" min="10" max="10"/>
    <col width="2" customWidth="1" min="11" max="11"/>
    <col width="12" customWidth="1" min="13" max="13"/>
  </cols>
  <sheetData>
    <row r="1" ht="6" customHeight="1">
      <c r="M1" s="18">
        <f>COUNTIF(Packages!$E$6:$E$105,Quote!$B$4)</f>
        <v/>
      </c>
    </row>
    <row r="2" ht="12" customHeight="1">
      <c r="B2" s="19" t="inlineStr">
        <is>
          <t>368 EVENT MANAGEMENT  ×  HELLHOUND AUDIO</t>
        </is>
      </c>
      <c r="G2" s="20">
        <f>"Prepared for "&amp;Quote!$B$5&amp;"  ·  Quote "&amp;Quote!$B$8</f>
        <v/>
      </c>
      <c r="M2" s="18" t="inlineStr">
        <is>
          <t>sections</t>
        </is>
      </c>
    </row>
    <row r="3" ht="10" customHeight="1"/>
    <row r="4" ht="14" customHeight="1">
      <c r="B4" s="21">
        <f>UPPER(Quote!$B$5&amp;"  ·  "&amp;TEXT(Quote!$B$6,"mmmm d, yyyy"))</f>
        <v/>
      </c>
    </row>
    <row r="5" ht="46" customHeight="1">
      <c r="B5" s="22">
        <f>IFERROR(INDEX(Packages!$B$6:$B$25,MATCH(Quote!$B$4,Packages!$A$6:$A$25,0)),"")</f>
        <v/>
      </c>
    </row>
    <row r="6" ht="46" customHeight="1"/>
    <row r="7" ht="28" customHeight="1"/>
    <row r="8" ht="22" customHeight="1">
      <c r="B8" s="23" t="inlineStr">
        <is>
          <t>What’s in the package</t>
        </is>
      </c>
    </row>
    <row r="9" ht="8" customHeight="1"/>
    <row r="10" ht="20" customHeight="1">
      <c r="B10" s="24">
        <f>IFERROR(IF(1&lt;=$M$1,INDEX(Packages!$F$6:$F$105,MATCH(Quote!$B$4&amp;"|1",Packages!$D$6:$D$105,0)),INDEX(Quote!$B$18:$B$19,1-$M$1)&amp;""),"")</f>
        <v/>
      </c>
      <c r="I10" s="25">
        <f>IFERROR(IF(B10="","",IF(1&lt;=$M$1,INDEX(Packages!$H$6:$H$105,MATCH(Quote!$B$4&amp;"|1",Packages!$D$6:$D$105,0))*Quote!$B$7,INDEX(Quote!$D$18:$D$19,1-$M$1))),"")</f>
        <v/>
      </c>
    </row>
    <row r="11" ht="16" customHeight="1">
      <c r="B11" s="26">
        <f>IFERROR(IF(1&lt;=$M$1,INDEX(Packages!$G$6:$G$105,MATCH(Quote!$B$4&amp;"|1",Packages!$D$6:$D$105,0)),INDEX(Quote!$C$18:$C$19,1-$M$1)&amp;""),"")</f>
        <v/>
      </c>
    </row>
    <row r="12" ht="10" customHeight="1"/>
    <row r="13" ht="20" customHeight="1">
      <c r="B13" s="24">
        <f>IFERROR(IF(2&lt;=$M$1,INDEX(Packages!$F$6:$F$105,MATCH(Quote!$B$4&amp;"|2",Packages!$D$6:$D$105,0)),INDEX(Quote!$B$18:$B$19,2-$M$1)&amp;""),"")</f>
        <v/>
      </c>
      <c r="I13" s="25">
        <f>IFERROR(IF(B13="","",IF(2&lt;=$M$1,INDEX(Packages!$H$6:$H$105,MATCH(Quote!$B$4&amp;"|2",Packages!$D$6:$D$105,0))*Quote!$B$7,INDEX(Quote!$D$18:$D$19,2-$M$1))),"")</f>
        <v/>
      </c>
    </row>
    <row r="14" ht="16" customHeight="1">
      <c r="B14" s="26">
        <f>IFERROR(IF(2&lt;=$M$1,INDEX(Packages!$G$6:$G$105,MATCH(Quote!$B$4&amp;"|2",Packages!$D$6:$D$105,0)),INDEX(Quote!$C$18:$C$19,2-$M$1)&amp;""),"")</f>
        <v/>
      </c>
    </row>
    <row r="15" ht="10" customHeight="1"/>
    <row r="16" ht="20" customHeight="1">
      <c r="B16" s="24">
        <f>IFERROR(IF(3&lt;=$M$1,INDEX(Packages!$F$6:$F$105,MATCH(Quote!$B$4&amp;"|3",Packages!$D$6:$D$105,0)),INDEX(Quote!$B$18:$B$19,3-$M$1)&amp;""),"")</f>
        <v/>
      </c>
      <c r="I16" s="25">
        <f>IFERROR(IF(B16="","",IF(3&lt;=$M$1,INDEX(Packages!$H$6:$H$105,MATCH(Quote!$B$4&amp;"|3",Packages!$D$6:$D$105,0))*Quote!$B$7,INDEX(Quote!$D$18:$D$19,3-$M$1))),"")</f>
        <v/>
      </c>
    </row>
    <row r="17" ht="16" customHeight="1">
      <c r="B17" s="26">
        <f>IFERROR(IF(3&lt;=$M$1,INDEX(Packages!$G$6:$G$105,MATCH(Quote!$B$4&amp;"|3",Packages!$D$6:$D$105,0)),INDEX(Quote!$C$18:$C$19,3-$M$1)&amp;""),"")</f>
        <v/>
      </c>
    </row>
    <row r="18" ht="10" customHeight="1"/>
    <row r="19" ht="20" customHeight="1">
      <c r="B19" s="24">
        <f>IFERROR(IF(4&lt;=$M$1,INDEX(Packages!$F$6:$F$105,MATCH(Quote!$B$4&amp;"|4",Packages!$D$6:$D$105,0)),INDEX(Quote!$B$18:$B$19,4-$M$1)&amp;""),"")</f>
        <v/>
      </c>
      <c r="I19" s="25">
        <f>IFERROR(IF(B19="","",IF(4&lt;=$M$1,INDEX(Packages!$H$6:$H$105,MATCH(Quote!$B$4&amp;"|4",Packages!$D$6:$D$105,0))*Quote!$B$7,INDEX(Quote!$D$18:$D$19,4-$M$1))),"")</f>
        <v/>
      </c>
    </row>
    <row r="20" ht="16" customHeight="1">
      <c r="B20" s="26">
        <f>IFERROR(IF(4&lt;=$M$1,INDEX(Packages!$G$6:$G$105,MATCH(Quote!$B$4&amp;"|4",Packages!$D$6:$D$105,0)),INDEX(Quote!$C$18:$C$19,4-$M$1)&amp;""),"")</f>
        <v/>
      </c>
    </row>
    <row r="21" ht="10" customHeight="1"/>
    <row r="22" ht="20" customHeight="1">
      <c r="B22" s="24">
        <f>IFERROR(IF(5&lt;=$M$1,INDEX(Packages!$F$6:$F$105,MATCH(Quote!$B$4&amp;"|5",Packages!$D$6:$D$105,0)),INDEX(Quote!$B$18:$B$19,5-$M$1)&amp;""),"")</f>
        <v/>
      </c>
      <c r="I22" s="25">
        <f>IFERROR(IF(B22="","",IF(5&lt;=$M$1,INDEX(Packages!$H$6:$H$105,MATCH(Quote!$B$4&amp;"|5",Packages!$D$6:$D$105,0))*Quote!$B$7,INDEX(Quote!$D$18:$D$19,5-$M$1))),"")</f>
        <v/>
      </c>
    </row>
    <row r="23" ht="16" customHeight="1">
      <c r="B23" s="26">
        <f>IFERROR(IF(5&lt;=$M$1,INDEX(Packages!$G$6:$G$105,MATCH(Quote!$B$4&amp;"|5",Packages!$D$6:$D$105,0)),INDEX(Quote!$C$18:$C$19,5-$M$1)&amp;""),"")</f>
        <v/>
      </c>
    </row>
    <row r="24" ht="10" customHeight="1"/>
    <row r="25" ht="18" customHeight="1"/>
    <row r="26" ht="22" customHeight="1">
      <c r="B26" s="23">
        <f>IF(COUNTIF(Packages!$K$6:$K$155,Quote!$B$4&amp;"|*")=0,"","Also included")</f>
        <v/>
      </c>
    </row>
    <row r="27" ht="8" customHeight="1"/>
    <row r="28" ht="20" customHeight="1">
      <c r="B28" s="27">
        <f>IFERROR("✓   "&amp;INDEX(Packages!$M$6:$M$155,MATCH(Quote!$B$4&amp;"|1",Packages!$K$6:$K$155,0)),"")</f>
        <v/>
      </c>
      <c r="G28" s="27">
        <f>IFERROR("✓   "&amp;INDEX(Packages!$M$6:$M$155,MATCH(Quote!$B$4&amp;"|4",Packages!$K$6:$K$155,0)),"")</f>
        <v/>
      </c>
    </row>
    <row r="29" ht="20" customHeight="1">
      <c r="B29" s="27">
        <f>IFERROR("✓   "&amp;INDEX(Packages!$M$6:$M$155,MATCH(Quote!$B$4&amp;"|2",Packages!$K$6:$K$155,0)),"")</f>
        <v/>
      </c>
      <c r="G29" s="27">
        <f>IFERROR("✓   "&amp;INDEX(Packages!$M$6:$M$155,MATCH(Quote!$B$4&amp;"|5",Packages!$K$6:$K$155,0)),"")</f>
        <v/>
      </c>
    </row>
    <row r="30" ht="20" customHeight="1">
      <c r="B30" s="27">
        <f>IFERROR("✓   "&amp;INDEX(Packages!$M$6:$M$155,MATCH(Quote!$B$4&amp;"|3",Packages!$K$6:$K$155,0)),"")</f>
        <v/>
      </c>
      <c r="G30" s="27">
        <f>IFERROR("✓   "&amp;INDEX(Packages!$M$6:$M$155,MATCH(Quote!$B$4&amp;"|6",Packages!$K$6:$K$155,0)),"")</f>
        <v/>
      </c>
    </row>
    <row r="31" ht="30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4" customHeight="1">
      <c r="B38" s="28" t="inlineStr">
        <is>
          <t>TOTAL</t>
        </is>
      </c>
      <c r="C38" s="29" t="n"/>
      <c r="D38" s="29" t="n"/>
      <c r="E38" s="29" t="n"/>
      <c r="F38" s="30" t="n"/>
      <c r="G38" s="30" t="n"/>
      <c r="H38" s="30" t="n"/>
      <c r="I38" s="30" t="n"/>
      <c r="J38" s="30" t="n"/>
    </row>
    <row r="39" ht="42" customHeight="1">
      <c r="B39" s="31">
        <f>SUM(I10,I13,I16,I19,I22)*(1+Quote!$B$11)</f>
        <v/>
      </c>
      <c r="G39" s="32">
        <f>IF(Quote!$B$11&gt;0,"Includes tax ("&amp;TEXT(Quote!$B$11,"0.###%")&amp;")","")</f>
        <v/>
      </c>
    </row>
    <row r="40" ht="16" customHeight="1"/>
    <row r="41" ht="26" customHeight="1">
      <c r="B41" s="33">
        <f>Quote!$B$12&amp;"  ·  "&amp;Quote!$B$13&amp;"  ·  "&amp;Quote!$B$14</f>
        <v/>
      </c>
    </row>
    <row r="42" ht="16" customHeight="1">
      <c r="B42" s="34">
        <f>"Quote "&amp;Quote!$B$8&amp;"  ·  Issued "&amp;TEXT(Quote!$B$9,"mmm d, yyyy")&amp;"  ·  Valid until "&amp;TEXT(Quote!$B$10,"mmm d, yyyy")</f>
        <v/>
      </c>
    </row>
  </sheetData>
  <mergeCells count="32">
    <mergeCell ref="B42:J42"/>
    <mergeCell ref="B28:E28"/>
    <mergeCell ref="B30:E30"/>
    <mergeCell ref="G29:J29"/>
    <mergeCell ref="B8:J8"/>
    <mergeCell ref="B20:H20"/>
    <mergeCell ref="I13:J14"/>
    <mergeCell ref="B4:H4"/>
    <mergeCell ref="I10:J11"/>
    <mergeCell ref="I19:J20"/>
    <mergeCell ref="B16:H16"/>
    <mergeCell ref="G2:J2"/>
    <mergeCell ref="B22:H22"/>
    <mergeCell ref="G39:J39"/>
    <mergeCell ref="B26:J26"/>
    <mergeCell ref="B39:E39"/>
    <mergeCell ref="B41:J41"/>
    <mergeCell ref="B2:E2"/>
    <mergeCell ref="B11:H11"/>
    <mergeCell ref="B5:H6"/>
    <mergeCell ref="B23:H23"/>
    <mergeCell ref="G28:J28"/>
    <mergeCell ref="B14:H14"/>
    <mergeCell ref="B17:H17"/>
    <mergeCell ref="B13:H13"/>
    <mergeCell ref="I16:J17"/>
    <mergeCell ref="B38:E38"/>
    <mergeCell ref="B29:E29"/>
    <mergeCell ref="G30:J30"/>
    <mergeCell ref="B10:H10"/>
    <mergeCell ref="I22:J23"/>
    <mergeCell ref="B19:H19"/>
  </mergeCells>
  <pageMargins left="0.25" right="0.25" top="0.25" bottom="0.25" header="0" footer="0"/>
  <pageSetup orientation="portrait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" customWidth="1" min="3" max="3"/>
    <col width="8" customWidth="1" min="4" max="4"/>
    <col width="22" customWidth="1" min="5" max="5"/>
    <col width="18" customWidth="1" min="6" max="6"/>
    <col width="58" customWidth="1" min="7" max="7"/>
    <col width="12" customWidth="1" min="8" max="8"/>
    <col width="30" customWidth="1" min="9" max="9"/>
    <col width="2" customWidth="1" min="10" max="10"/>
    <col width="8" customWidth="1" min="11" max="11"/>
    <col width="22" customWidth="1" min="12" max="12"/>
    <col width="40" customWidth="1" min="13" max="13"/>
  </cols>
  <sheetData>
    <row r="1" ht="30" customHeight="1">
      <c r="A1" s="6" t="inlineStr">
        <is>
          <t>Packages</t>
        </is>
      </c>
    </row>
    <row r="2">
      <c r="A2" s="35" t="inlineStr">
        <is>
          <t>Edit prices and wording here. Add a package: add its name and headline on the left, then its sections and bullets using the same name.</t>
        </is>
      </c>
    </row>
    <row r="3">
      <c r="A3" s="36" t="inlineStr">
        <is>
          <t>Red rows are PLACEHOLDER prices. Replace them before sending a quote for that package.</t>
        </is>
      </c>
    </row>
    <row r="5">
      <c r="A5" s="14" t="inlineStr">
        <is>
          <t>Package</t>
        </is>
      </c>
      <c r="B5" s="14" t="inlineStr">
        <is>
          <t>Headline (two lines)</t>
        </is>
      </c>
      <c r="D5" s="14" t="inlineStr">
        <is>
          <t>Key</t>
        </is>
      </c>
      <c r="E5" s="14" t="inlineStr">
        <is>
          <t>Package</t>
        </is>
      </c>
      <c r="F5" s="14" t="inlineStr">
        <is>
          <t>Section</t>
        </is>
      </c>
      <c r="G5" s="14" t="inlineStr">
        <is>
          <t>Description</t>
        </is>
      </c>
      <c r="H5" s="14" t="inlineStr">
        <is>
          <t>Price / day</t>
        </is>
      </c>
      <c r="I5" s="14" t="inlineStr">
        <is>
          <t>Status</t>
        </is>
      </c>
      <c r="K5" s="14" t="inlineStr">
        <is>
          <t>Key</t>
        </is>
      </c>
      <c r="L5" s="14" t="inlineStr">
        <is>
          <t>Package</t>
        </is>
      </c>
      <c r="M5" s="14" t="inlineStr">
        <is>
          <t>Also included</t>
        </is>
      </c>
    </row>
    <row r="6" ht="30" customHeight="1">
      <c r="A6" s="8" t="inlineStr">
        <is>
          <t>Live Zoom Package</t>
        </is>
      </c>
      <c r="B6" s="37" t="inlineStr">
        <is>
          <t>Your Zoom
Call Package</t>
        </is>
      </c>
      <c r="D6" s="18">
        <f>IF(E6="","",E6&amp;"|"&amp;COUNTIF($E$6:E6,E6))</f>
        <v/>
      </c>
      <c r="E6" s="8" t="inlineStr">
        <is>
          <t>Live Zoom Package</t>
        </is>
      </c>
      <c r="F6" s="8" t="inlineStr">
        <is>
          <t>Crew</t>
        </is>
      </c>
      <c r="G6" s="8" t="inlineStr">
        <is>
          <t>Senior audio technician (A1), video technician (V1)</t>
        </is>
      </c>
      <c r="H6" s="15" t="n">
        <v>1200</v>
      </c>
      <c r="I6" s="33" t="inlineStr">
        <is>
          <t>From quote 0625</t>
        </is>
      </c>
      <c r="K6" s="18">
        <f>IF(L6="","",L6&amp;"|"&amp;COUNTIF($L$6:L6,L6))</f>
        <v/>
      </c>
      <c r="L6" s="8" t="inlineStr">
        <is>
          <t>Live Zoom Package</t>
        </is>
      </c>
      <c r="M6" s="8" t="inlineStr">
        <is>
          <t>Joystick camera controller</t>
        </is>
      </c>
    </row>
    <row r="7" ht="30" customHeight="1">
      <c r="A7" s="8" t="inlineStr">
        <is>
          <t>Cocktail Hour Sound</t>
        </is>
      </c>
      <c r="B7" s="37" t="inlineStr">
        <is>
          <t>Your Cocktail
Hour Sound</t>
        </is>
      </c>
      <c r="D7" s="18">
        <f>IF(E7="","",E7&amp;"|"&amp;COUNTIF($E$6:E7,E7))</f>
        <v/>
      </c>
      <c r="E7" s="8" t="inlineStr">
        <is>
          <t>Live Zoom Package</t>
        </is>
      </c>
      <c r="F7" s="8" t="inlineStr">
        <is>
          <t>Video</t>
        </is>
      </c>
      <c r="G7" s="8" t="inlineStr">
        <is>
          <t>BirdDog X5 Ultra PTZ camera, Roland V-02HD MK II mixer, MacBook Air M2</t>
        </is>
      </c>
      <c r="H7" s="15" t="n">
        <v>850</v>
      </c>
      <c r="I7" s="33" t="inlineStr">
        <is>
          <t>From quote 0625</t>
        </is>
      </c>
      <c r="K7" s="18">
        <f>IF(L7="","",L7&amp;"|"&amp;COUNTIF($L$6:L7,L7))</f>
        <v/>
      </c>
      <c r="L7" s="8" t="inlineStr">
        <is>
          <t>Live Zoom Package</t>
        </is>
      </c>
      <c r="M7" s="8" t="inlineStr">
        <is>
          <t>SDI and HDMI cable package</t>
        </is>
      </c>
    </row>
    <row r="8" ht="30" customHeight="1">
      <c r="A8" s="8" t="inlineStr">
        <is>
          <t>Room Rental</t>
        </is>
      </c>
      <c r="B8" s="37" t="inlineStr">
        <is>
          <t>Your Room
at Helix</t>
        </is>
      </c>
      <c r="D8" s="18">
        <f>IF(E8="","",E8&amp;"|"&amp;COUNTIF($E$6:E8,E8))</f>
        <v/>
      </c>
      <c r="E8" s="8" t="inlineStr">
        <is>
          <t>Live Zoom Package</t>
        </is>
      </c>
      <c r="F8" s="8" t="inlineStr">
        <is>
          <t>Audio</t>
        </is>
      </c>
      <c r="G8" s="8" t="inlineStr">
        <is>
          <t>Focusrite Scarlett 2i2, Radial direct boxes, iPad</t>
        </is>
      </c>
      <c r="H8" s="15" t="n">
        <v>600</v>
      </c>
      <c r="I8" s="33" t="inlineStr">
        <is>
          <t>From quote 0625 (includes transport)</t>
        </is>
      </c>
      <c r="K8" s="18">
        <f>IF(L8="","",L8&amp;"|"&amp;COUNTIF($L$6:L8,L8))</f>
        <v/>
      </c>
      <c r="L8" s="8" t="inlineStr">
        <is>
          <t>Live Zoom Package</t>
        </is>
      </c>
      <c r="M8" s="8" t="inlineStr">
        <is>
          <t>Remote pan, tilt, and zoom</t>
        </is>
      </c>
    </row>
    <row r="9">
      <c r="D9" s="18">
        <f>IF(E9="","",E9&amp;"|"&amp;COUNTIF($E$6:E9,E9))</f>
        <v/>
      </c>
      <c r="E9" s="8" t="inlineStr">
        <is>
          <t>Cocktail Hour Sound</t>
        </is>
      </c>
      <c r="F9" s="8" t="inlineStr">
        <is>
          <t>Crew</t>
        </is>
      </c>
      <c r="G9" s="8" t="inlineStr">
        <is>
          <t>Audio engineer (A1), on site for the event</t>
        </is>
      </c>
      <c r="H9" s="15" t="n">
        <v>600</v>
      </c>
      <c r="I9" s="38" t="inlineStr">
        <is>
          <t>PLACEHOLDER</t>
        </is>
      </c>
      <c r="K9" s="18">
        <f>IF(L9="","",L9&amp;"|"&amp;COUNTIF($L$6:L9,L9))</f>
        <v/>
      </c>
      <c r="L9" s="8" t="inlineStr">
        <is>
          <t>Live Zoom Package</t>
        </is>
      </c>
      <c r="M9" s="8" t="inlineStr">
        <is>
          <t>4K camera monitor for the technician</t>
        </is>
      </c>
    </row>
    <row r="10">
      <c r="D10" s="18">
        <f>IF(E10="","",E10&amp;"|"&amp;COUNTIF($E$6:E10,E10))</f>
        <v/>
      </c>
      <c r="E10" s="8" t="inlineStr">
        <is>
          <t>Cocktail Hour Sound</t>
        </is>
      </c>
      <c r="F10" s="8" t="inlineStr">
        <is>
          <t>Sound system</t>
        </is>
      </c>
      <c r="G10" s="8" t="inlineStr">
        <is>
          <t>PA speakers, digital mixer, wireless mics</t>
        </is>
      </c>
      <c r="H10" s="15" t="n">
        <v>750</v>
      </c>
      <c r="I10" s="38" t="inlineStr">
        <is>
          <t>PLACEHOLDER</t>
        </is>
      </c>
      <c r="K10" s="18">
        <f>IF(L10="","",L10&amp;"|"&amp;COUNTIF($L$6:L10,L10))</f>
        <v/>
      </c>
      <c r="L10" s="8" t="inlineStr">
        <is>
          <t>Live Zoom Package</t>
        </is>
      </c>
      <c r="M10" s="8" t="inlineStr">
        <is>
          <t>PoE+ network switch</t>
        </is>
      </c>
    </row>
    <row r="11">
      <c r="D11" s="18">
        <f>IF(E11="","",E11&amp;"|"&amp;COUNTIF($E$6:E11,E11))</f>
        <v/>
      </c>
      <c r="E11" s="8" t="inlineStr">
        <is>
          <t>Cocktail Hour Sound</t>
        </is>
      </c>
      <c r="F11" s="8" t="inlineStr">
        <is>
          <t>Band setup</t>
        </is>
      </c>
      <c r="G11" s="8" t="inlineStr">
        <is>
          <t>Stage mics, monitors, and direct boxes for the band</t>
        </is>
      </c>
      <c r="H11" s="15" t="n">
        <v>400</v>
      </c>
      <c r="I11" s="38" t="inlineStr">
        <is>
          <t>PLACEHOLDER</t>
        </is>
      </c>
      <c r="K11" s="18">
        <f>IF(L11="","",L11&amp;"|"&amp;COUNTIF($L$6:L11,L11))</f>
        <v/>
      </c>
      <c r="L11" s="8" t="inlineStr">
        <is>
          <t>Live Zoom Package</t>
        </is>
      </c>
      <c r="M11" s="8" t="inlineStr">
        <is>
          <t>Camera tripods</t>
        </is>
      </c>
    </row>
    <row r="12">
      <c r="D12" s="18">
        <f>IF(E12="","",E12&amp;"|"&amp;COUNTIF($E$6:E12,E12))</f>
        <v/>
      </c>
      <c r="E12" s="8" t="inlineStr">
        <is>
          <t>Room Rental</t>
        </is>
      </c>
      <c r="F12" s="8" t="inlineStr">
        <is>
          <t>Room</t>
        </is>
      </c>
      <c r="G12" s="8" t="inlineStr">
        <is>
          <t>Event space at Helix, 20 French St, New Brunswick</t>
        </is>
      </c>
      <c r="H12" s="15" t="n">
        <v>5000</v>
      </c>
      <c r="I12" s="38" t="inlineStr">
        <is>
          <t>PLACEHOLDER</t>
        </is>
      </c>
      <c r="K12" s="18">
        <f>IF(L12="","",L12&amp;"|"&amp;COUNTIF($L$6:L12,L12))</f>
        <v/>
      </c>
      <c r="L12" s="8" t="inlineStr">
        <is>
          <t>Cocktail Hour Sound</t>
        </is>
      </c>
      <c r="M12" s="8" t="inlineStr">
        <is>
          <t>Background music playback</t>
        </is>
      </c>
    </row>
    <row r="13">
      <c r="D13" s="18">
        <f>IF(E13="","",E13&amp;"|"&amp;COUNTIF($E$6:E13,E13))</f>
        <v/>
      </c>
      <c r="E13" s="8" t="inlineStr">
        <is>
          <t>Room Rental</t>
        </is>
      </c>
      <c r="F13" s="8" t="inlineStr">
        <is>
          <t>Presentation AV</t>
        </is>
      </c>
      <c r="G13" s="8" t="inlineStr">
        <is>
          <t>Display, presentation audio, wireless mics</t>
        </is>
      </c>
      <c r="H13" s="15" t="n">
        <v>900</v>
      </c>
      <c r="I13" s="38" t="inlineStr">
        <is>
          <t>PLACEHOLDER</t>
        </is>
      </c>
      <c r="K13" s="18">
        <f>IF(L13="","",L13&amp;"|"&amp;COUNTIF($L$6:L13,L13))</f>
        <v/>
      </c>
      <c r="L13" s="8" t="inlineStr">
        <is>
          <t>Cocktail Hour Sound</t>
        </is>
      </c>
      <c r="M13" s="8" t="inlineStr">
        <is>
          <t>Speeches and toasts mic</t>
        </is>
      </c>
    </row>
    <row r="14">
      <c r="D14" s="18">
        <f>IF(E14="","",E14&amp;"|"&amp;COUNTIF($E$6:E14,E14))</f>
        <v/>
      </c>
      <c r="E14" s="8" t="inlineStr">
        <is>
          <t>Room Rental</t>
        </is>
      </c>
      <c r="F14" s="8" t="inlineStr">
        <is>
          <t>Crew</t>
        </is>
      </c>
      <c r="G14" s="8" t="inlineStr">
        <is>
          <t>On-site technician for the event</t>
        </is>
      </c>
      <c r="H14" s="15" t="n">
        <v>600</v>
      </c>
      <c r="I14" s="38" t="inlineStr">
        <is>
          <t>PLACEHOLDER</t>
        </is>
      </c>
      <c r="K14" s="18">
        <f>IF(L14="","",L14&amp;"|"&amp;COUNTIF($L$6:L14,L14))</f>
        <v/>
      </c>
      <c r="L14" s="8" t="inlineStr">
        <is>
          <t>Cocktail Hour Sound</t>
        </is>
      </c>
      <c r="M14" s="8" t="inlineStr">
        <is>
          <t>All cabling and stands</t>
        </is>
      </c>
    </row>
    <row r="15">
      <c r="D15" s="18">
        <f>IF(E15="","",E15&amp;"|"&amp;COUNTIF($E$6:E15,E15))</f>
        <v/>
      </c>
      <c r="H15" s="39" t="n"/>
      <c r="K15" s="18">
        <f>IF(L15="","",L15&amp;"|"&amp;COUNTIF($L$6:L15,L15))</f>
        <v/>
      </c>
      <c r="L15" s="8" t="inlineStr">
        <is>
          <t>Room Rental</t>
        </is>
      </c>
      <c r="M15" s="8" t="inlineStr">
        <is>
          <t>Tables and chairs</t>
        </is>
      </c>
    </row>
    <row r="16">
      <c r="D16" s="18">
        <f>IF(E16="","",E16&amp;"|"&amp;COUNTIF($E$6:E16,E16))</f>
        <v/>
      </c>
      <c r="H16" s="39" t="n"/>
      <c r="K16" s="18">
        <f>IF(L16="","",L16&amp;"|"&amp;COUNTIF($L$6:L16,L16))</f>
        <v/>
      </c>
      <c r="L16" s="8" t="inlineStr">
        <is>
          <t>Room Rental</t>
        </is>
      </c>
      <c r="M16" s="8" t="inlineStr">
        <is>
          <t>Wi-Fi</t>
        </is>
      </c>
    </row>
    <row r="17">
      <c r="D17" s="18">
        <f>IF(E17="","",E17&amp;"|"&amp;COUNTIF($E$6:E17,E17))</f>
        <v/>
      </c>
      <c r="H17" s="39" t="n"/>
      <c r="K17" s="18">
        <f>IF(L17="","",L17&amp;"|"&amp;COUNTIF($L$6:L17,L17))</f>
        <v/>
      </c>
      <c r="L17" s="8" t="inlineStr">
        <is>
          <t>Room Rental</t>
        </is>
      </c>
      <c r="M17" s="8" t="inlineStr">
        <is>
          <t>Setup and breakdown</t>
        </is>
      </c>
    </row>
    <row r="18">
      <c r="D18" s="18">
        <f>IF(E18="","",E18&amp;"|"&amp;COUNTIF($E$6:E18,E18))</f>
        <v/>
      </c>
      <c r="H18" s="39" t="n"/>
      <c r="K18" s="18">
        <f>IF(L18="","",L18&amp;"|"&amp;COUNTIF($L$6:L18,L18))</f>
        <v/>
      </c>
    </row>
    <row r="19">
      <c r="D19" s="18">
        <f>IF(E19="","",E19&amp;"|"&amp;COUNTIF($E$6:E19,E19))</f>
        <v/>
      </c>
      <c r="H19" s="39" t="n"/>
      <c r="K19" s="18">
        <f>IF(L19="","",L19&amp;"|"&amp;COUNTIF($L$6:L19,L19))</f>
        <v/>
      </c>
    </row>
    <row r="20">
      <c r="D20" s="18">
        <f>IF(E20="","",E20&amp;"|"&amp;COUNTIF($E$6:E20,E20))</f>
        <v/>
      </c>
      <c r="H20" s="39" t="n"/>
      <c r="K20" s="18">
        <f>IF(L20="","",L20&amp;"|"&amp;COUNTIF($L$6:L20,L20))</f>
        <v/>
      </c>
    </row>
    <row r="21">
      <c r="D21" s="18">
        <f>IF(E21="","",E21&amp;"|"&amp;COUNTIF($E$6:E21,E21))</f>
        <v/>
      </c>
      <c r="H21" s="39" t="n"/>
      <c r="K21" s="18">
        <f>IF(L21="","",L21&amp;"|"&amp;COUNTIF($L$6:L21,L21))</f>
        <v/>
      </c>
    </row>
    <row r="22">
      <c r="D22" s="18">
        <f>IF(E22="","",E22&amp;"|"&amp;COUNTIF($E$6:E22,E22))</f>
        <v/>
      </c>
      <c r="H22" s="39" t="n"/>
      <c r="K22" s="18">
        <f>IF(L22="","",L22&amp;"|"&amp;COUNTIF($L$6:L22,L22))</f>
        <v/>
      </c>
    </row>
    <row r="23">
      <c r="D23" s="18">
        <f>IF(E23="","",E23&amp;"|"&amp;COUNTIF($E$6:E23,E23))</f>
        <v/>
      </c>
      <c r="H23" s="39" t="n"/>
      <c r="K23" s="18">
        <f>IF(L23="","",L23&amp;"|"&amp;COUNTIF($L$6:L23,L23))</f>
        <v/>
      </c>
    </row>
    <row r="24">
      <c r="D24" s="18">
        <f>IF(E24="","",E24&amp;"|"&amp;COUNTIF($E$6:E24,E24))</f>
        <v/>
      </c>
      <c r="H24" s="39" t="n"/>
      <c r="K24" s="18">
        <f>IF(L24="","",L24&amp;"|"&amp;COUNTIF($L$6:L24,L24))</f>
        <v/>
      </c>
    </row>
    <row r="25">
      <c r="D25" s="18">
        <f>IF(E25="","",E25&amp;"|"&amp;COUNTIF($E$6:E25,E25))</f>
        <v/>
      </c>
      <c r="H25" s="39" t="n"/>
      <c r="K25" s="18">
        <f>IF(L25="","",L25&amp;"|"&amp;COUNTIF($L$6:L25,L25))</f>
        <v/>
      </c>
    </row>
    <row r="26">
      <c r="D26" s="18">
        <f>IF(E26="","",E26&amp;"|"&amp;COUNTIF($E$6:E26,E26))</f>
        <v/>
      </c>
      <c r="H26" s="39" t="n"/>
      <c r="K26" s="18">
        <f>IF(L26="","",L26&amp;"|"&amp;COUNTIF($L$6:L26,L26))</f>
        <v/>
      </c>
    </row>
    <row r="27">
      <c r="D27" s="18">
        <f>IF(E27="","",E27&amp;"|"&amp;COUNTIF($E$6:E27,E27))</f>
        <v/>
      </c>
      <c r="H27" s="39" t="n"/>
      <c r="K27" s="18">
        <f>IF(L27="","",L27&amp;"|"&amp;COUNTIF($L$6:L27,L27))</f>
        <v/>
      </c>
    </row>
    <row r="28">
      <c r="D28" s="18">
        <f>IF(E28="","",E28&amp;"|"&amp;COUNTIF($E$6:E28,E28))</f>
        <v/>
      </c>
      <c r="H28" s="39" t="n"/>
      <c r="K28" s="18">
        <f>IF(L28="","",L28&amp;"|"&amp;COUNTIF($L$6:L28,L28))</f>
        <v/>
      </c>
    </row>
    <row r="29">
      <c r="D29" s="18">
        <f>IF(E29="","",E29&amp;"|"&amp;COUNTIF($E$6:E29,E29))</f>
        <v/>
      </c>
      <c r="H29" s="39" t="n"/>
      <c r="K29" s="18">
        <f>IF(L29="","",L29&amp;"|"&amp;COUNTIF($L$6:L29,L29))</f>
        <v/>
      </c>
    </row>
    <row r="30">
      <c r="D30" s="18">
        <f>IF(E30="","",E30&amp;"|"&amp;COUNTIF($E$6:E30,E30))</f>
        <v/>
      </c>
      <c r="H30" s="39" t="n"/>
      <c r="K30" s="18">
        <f>IF(L30="","",L30&amp;"|"&amp;COUNTIF($L$6:L30,L30))</f>
        <v/>
      </c>
    </row>
    <row r="31">
      <c r="D31" s="18">
        <f>IF(E31="","",E31&amp;"|"&amp;COUNTIF($E$6:E31,E31))</f>
        <v/>
      </c>
      <c r="H31" s="39" t="n"/>
      <c r="K31" s="18">
        <f>IF(L31="","",L31&amp;"|"&amp;COUNTIF($L$6:L31,L31))</f>
        <v/>
      </c>
    </row>
    <row r="32">
      <c r="D32" s="18">
        <f>IF(E32="","",E32&amp;"|"&amp;COUNTIF($E$6:E32,E32))</f>
        <v/>
      </c>
      <c r="H32" s="39" t="n"/>
      <c r="K32" s="18">
        <f>IF(L32="","",L32&amp;"|"&amp;COUNTIF($L$6:L32,L32))</f>
        <v/>
      </c>
    </row>
    <row r="33">
      <c r="D33" s="18">
        <f>IF(E33="","",E33&amp;"|"&amp;COUNTIF($E$6:E33,E33))</f>
        <v/>
      </c>
      <c r="H33" s="39" t="n"/>
      <c r="K33" s="18">
        <f>IF(L33="","",L33&amp;"|"&amp;COUNTIF($L$6:L33,L33))</f>
        <v/>
      </c>
    </row>
    <row r="34">
      <c r="D34" s="18">
        <f>IF(E34="","",E34&amp;"|"&amp;COUNTIF($E$6:E34,E34))</f>
        <v/>
      </c>
      <c r="H34" s="39" t="n"/>
      <c r="K34" s="18">
        <f>IF(L34="","",L34&amp;"|"&amp;COUNTIF($L$6:L34,L34))</f>
        <v/>
      </c>
    </row>
    <row r="35">
      <c r="D35" s="18">
        <f>IF(E35="","",E35&amp;"|"&amp;COUNTIF($E$6:E35,E35))</f>
        <v/>
      </c>
      <c r="H35" s="39" t="n"/>
      <c r="K35" s="18">
        <f>IF(L35="","",L35&amp;"|"&amp;COUNTIF($L$6:L35,L35))</f>
        <v/>
      </c>
    </row>
    <row r="36">
      <c r="D36" s="18">
        <f>IF(E36="","",E36&amp;"|"&amp;COUNTIF($E$6:E36,E36))</f>
        <v/>
      </c>
      <c r="H36" s="39" t="n"/>
      <c r="K36" s="18">
        <f>IF(L36="","",L36&amp;"|"&amp;COUNTIF($L$6:L36,L36))</f>
        <v/>
      </c>
    </row>
    <row r="37">
      <c r="D37" s="18">
        <f>IF(E37="","",E37&amp;"|"&amp;COUNTIF($E$6:E37,E37))</f>
        <v/>
      </c>
      <c r="H37" s="39" t="n"/>
      <c r="K37" s="18">
        <f>IF(L37="","",L37&amp;"|"&amp;COUNTIF($L$6:L37,L37))</f>
        <v/>
      </c>
    </row>
    <row r="38">
      <c r="D38" s="18">
        <f>IF(E38="","",E38&amp;"|"&amp;COUNTIF($E$6:E38,E38))</f>
        <v/>
      </c>
      <c r="H38" s="39" t="n"/>
      <c r="K38" s="18">
        <f>IF(L38="","",L38&amp;"|"&amp;COUNTIF($L$6:L38,L38))</f>
        <v/>
      </c>
    </row>
    <row r="39">
      <c r="D39" s="18">
        <f>IF(E39="","",E39&amp;"|"&amp;COUNTIF($E$6:E39,E39))</f>
        <v/>
      </c>
      <c r="H39" s="39" t="n"/>
      <c r="K39" s="18">
        <f>IF(L39="","",L39&amp;"|"&amp;COUNTIF($L$6:L39,L39))</f>
        <v/>
      </c>
    </row>
    <row r="40">
      <c r="D40" s="18">
        <f>IF(E40="","",E40&amp;"|"&amp;COUNTIF($E$6:E40,E40))</f>
        <v/>
      </c>
      <c r="H40" s="39" t="n"/>
      <c r="K40" s="18">
        <f>IF(L40="","",L40&amp;"|"&amp;COUNTIF($L$6:L40,L40))</f>
        <v/>
      </c>
    </row>
    <row r="41">
      <c r="D41" s="18">
        <f>IF(E41="","",E41&amp;"|"&amp;COUNTIF($E$6:E41,E41))</f>
        <v/>
      </c>
      <c r="H41" s="39" t="n"/>
      <c r="K41" s="18">
        <f>IF(L41="","",L41&amp;"|"&amp;COUNTIF($L$6:L41,L41))</f>
        <v/>
      </c>
    </row>
    <row r="42">
      <c r="D42" s="18">
        <f>IF(E42="","",E42&amp;"|"&amp;COUNTIF($E$6:E42,E42))</f>
        <v/>
      </c>
      <c r="H42" s="39" t="n"/>
      <c r="K42" s="18">
        <f>IF(L42="","",L42&amp;"|"&amp;COUNTIF($L$6:L42,L42))</f>
        <v/>
      </c>
    </row>
    <row r="43">
      <c r="D43" s="18">
        <f>IF(E43="","",E43&amp;"|"&amp;COUNTIF($E$6:E43,E43))</f>
        <v/>
      </c>
      <c r="H43" s="39" t="n"/>
      <c r="K43" s="18">
        <f>IF(L43="","",L43&amp;"|"&amp;COUNTIF($L$6:L43,L43))</f>
        <v/>
      </c>
    </row>
    <row r="44">
      <c r="D44" s="18">
        <f>IF(E44="","",E44&amp;"|"&amp;COUNTIF($E$6:E44,E44))</f>
        <v/>
      </c>
      <c r="H44" s="39" t="n"/>
      <c r="K44" s="18">
        <f>IF(L44="","",L44&amp;"|"&amp;COUNTIF($L$6:L44,L44))</f>
        <v/>
      </c>
    </row>
    <row r="45">
      <c r="D45" s="18">
        <f>IF(E45="","",E45&amp;"|"&amp;COUNTIF($E$6:E45,E45))</f>
        <v/>
      </c>
      <c r="H45" s="39" t="n"/>
      <c r="K45" s="18">
        <f>IF(L45="","",L45&amp;"|"&amp;COUNTIF($L$6:L45,L45))</f>
        <v/>
      </c>
    </row>
    <row r="46">
      <c r="D46" s="18">
        <f>IF(E46="","",E46&amp;"|"&amp;COUNTIF($E$6:E46,E46))</f>
        <v/>
      </c>
      <c r="H46" s="39" t="n"/>
      <c r="K46" s="18">
        <f>IF(L46="","",L46&amp;"|"&amp;COUNTIF($L$6:L46,L46))</f>
        <v/>
      </c>
    </row>
    <row r="47">
      <c r="D47" s="18">
        <f>IF(E47="","",E47&amp;"|"&amp;COUNTIF($E$6:E47,E47))</f>
        <v/>
      </c>
      <c r="H47" s="39" t="n"/>
      <c r="K47" s="18">
        <f>IF(L47="","",L47&amp;"|"&amp;COUNTIF($L$6:L47,L47))</f>
        <v/>
      </c>
    </row>
    <row r="48">
      <c r="D48" s="18">
        <f>IF(E48="","",E48&amp;"|"&amp;COUNTIF($E$6:E48,E48))</f>
        <v/>
      </c>
      <c r="H48" s="39" t="n"/>
      <c r="K48" s="18">
        <f>IF(L48="","",L48&amp;"|"&amp;COUNTIF($L$6:L48,L48))</f>
        <v/>
      </c>
    </row>
    <row r="49">
      <c r="D49" s="18">
        <f>IF(E49="","",E49&amp;"|"&amp;COUNTIF($E$6:E49,E49))</f>
        <v/>
      </c>
      <c r="H49" s="39" t="n"/>
      <c r="K49" s="18">
        <f>IF(L49="","",L49&amp;"|"&amp;COUNTIF($L$6:L49,L49))</f>
        <v/>
      </c>
    </row>
    <row r="50">
      <c r="D50" s="18">
        <f>IF(E50="","",E50&amp;"|"&amp;COUNTIF($E$6:E50,E50))</f>
        <v/>
      </c>
      <c r="H50" s="39" t="n"/>
      <c r="K50" s="18">
        <f>IF(L50="","",L50&amp;"|"&amp;COUNTIF($L$6:L50,L50))</f>
        <v/>
      </c>
    </row>
    <row r="51">
      <c r="D51" s="18">
        <f>IF(E51="","",E51&amp;"|"&amp;COUNTIF($E$6:E51,E51))</f>
        <v/>
      </c>
      <c r="H51" s="39" t="n"/>
      <c r="K51" s="18">
        <f>IF(L51="","",L51&amp;"|"&amp;COUNTIF($L$6:L51,L51))</f>
        <v/>
      </c>
    </row>
    <row r="52">
      <c r="D52" s="18">
        <f>IF(E52="","",E52&amp;"|"&amp;COUNTIF($E$6:E52,E52))</f>
        <v/>
      </c>
      <c r="H52" s="39" t="n"/>
      <c r="K52" s="18">
        <f>IF(L52="","",L52&amp;"|"&amp;COUNTIF($L$6:L52,L52))</f>
        <v/>
      </c>
    </row>
    <row r="53">
      <c r="D53" s="18">
        <f>IF(E53="","",E53&amp;"|"&amp;COUNTIF($E$6:E53,E53))</f>
        <v/>
      </c>
      <c r="H53" s="39" t="n"/>
      <c r="K53" s="18">
        <f>IF(L53="","",L53&amp;"|"&amp;COUNTIF($L$6:L53,L53))</f>
        <v/>
      </c>
    </row>
    <row r="54">
      <c r="D54" s="18">
        <f>IF(E54="","",E54&amp;"|"&amp;COUNTIF($E$6:E54,E54))</f>
        <v/>
      </c>
      <c r="H54" s="39" t="n"/>
      <c r="K54" s="18">
        <f>IF(L54="","",L54&amp;"|"&amp;COUNTIF($L$6:L54,L54))</f>
        <v/>
      </c>
    </row>
    <row r="55">
      <c r="D55" s="18">
        <f>IF(E55="","",E55&amp;"|"&amp;COUNTIF($E$6:E55,E55))</f>
        <v/>
      </c>
      <c r="H55" s="39" t="n"/>
      <c r="K55" s="18">
        <f>IF(L55="","",L55&amp;"|"&amp;COUNTIF($L$6:L55,L55))</f>
        <v/>
      </c>
    </row>
    <row r="56">
      <c r="D56" s="18">
        <f>IF(E56="","",E56&amp;"|"&amp;COUNTIF($E$6:E56,E56))</f>
        <v/>
      </c>
      <c r="H56" s="39" t="n"/>
      <c r="K56" s="18">
        <f>IF(L56="","",L56&amp;"|"&amp;COUNTIF($L$6:L56,L56))</f>
        <v/>
      </c>
    </row>
    <row r="57">
      <c r="D57" s="18">
        <f>IF(E57="","",E57&amp;"|"&amp;COUNTIF($E$6:E57,E57))</f>
        <v/>
      </c>
      <c r="H57" s="39" t="n"/>
      <c r="K57" s="18">
        <f>IF(L57="","",L57&amp;"|"&amp;COUNTIF($L$6:L57,L57))</f>
        <v/>
      </c>
    </row>
    <row r="58">
      <c r="D58" s="18">
        <f>IF(E58="","",E58&amp;"|"&amp;COUNTIF($E$6:E58,E58))</f>
        <v/>
      </c>
      <c r="H58" s="39" t="n"/>
      <c r="K58" s="18">
        <f>IF(L58="","",L58&amp;"|"&amp;COUNTIF($L$6:L58,L58))</f>
        <v/>
      </c>
    </row>
    <row r="59">
      <c r="D59" s="18">
        <f>IF(E59="","",E59&amp;"|"&amp;COUNTIF($E$6:E59,E59))</f>
        <v/>
      </c>
      <c r="H59" s="39" t="n"/>
      <c r="K59" s="18">
        <f>IF(L59="","",L59&amp;"|"&amp;COUNTIF($L$6:L59,L59))</f>
        <v/>
      </c>
    </row>
    <row r="60">
      <c r="D60" s="18">
        <f>IF(E60="","",E60&amp;"|"&amp;COUNTIF($E$6:E60,E60))</f>
        <v/>
      </c>
      <c r="H60" s="39" t="n"/>
      <c r="K60" s="18">
        <f>IF(L60="","",L60&amp;"|"&amp;COUNTIF($L$6:L60,L60))</f>
        <v/>
      </c>
    </row>
    <row r="61">
      <c r="D61" s="18">
        <f>IF(E61="","",E61&amp;"|"&amp;COUNTIF($E$6:E61,E61))</f>
        <v/>
      </c>
      <c r="H61" s="39" t="n"/>
      <c r="K61" s="18">
        <f>IF(L61="","",L61&amp;"|"&amp;COUNTIF($L$6:L61,L61))</f>
        <v/>
      </c>
    </row>
    <row r="62">
      <c r="D62" s="18">
        <f>IF(E62="","",E62&amp;"|"&amp;COUNTIF($E$6:E62,E62))</f>
        <v/>
      </c>
      <c r="H62" s="39" t="n"/>
      <c r="K62" s="18">
        <f>IF(L62="","",L62&amp;"|"&amp;COUNTIF($L$6:L62,L62))</f>
        <v/>
      </c>
    </row>
    <row r="63">
      <c r="D63" s="18">
        <f>IF(E63="","",E63&amp;"|"&amp;COUNTIF($E$6:E63,E63))</f>
        <v/>
      </c>
      <c r="H63" s="39" t="n"/>
      <c r="K63" s="18">
        <f>IF(L63="","",L63&amp;"|"&amp;COUNTIF($L$6:L63,L63))</f>
        <v/>
      </c>
    </row>
    <row r="64">
      <c r="D64" s="18">
        <f>IF(E64="","",E64&amp;"|"&amp;COUNTIF($E$6:E64,E64))</f>
        <v/>
      </c>
      <c r="H64" s="39" t="n"/>
      <c r="K64" s="18">
        <f>IF(L64="","",L64&amp;"|"&amp;COUNTIF($L$6:L64,L64))</f>
        <v/>
      </c>
    </row>
    <row r="65">
      <c r="D65" s="18">
        <f>IF(E65="","",E65&amp;"|"&amp;COUNTIF($E$6:E65,E65))</f>
        <v/>
      </c>
      <c r="H65" s="39" t="n"/>
      <c r="K65" s="18">
        <f>IF(L65="","",L65&amp;"|"&amp;COUNTIF($L$6:L65,L65))</f>
        <v/>
      </c>
    </row>
    <row r="66">
      <c r="D66" s="18">
        <f>IF(E66="","",E66&amp;"|"&amp;COUNTIF($E$6:E66,E66))</f>
        <v/>
      </c>
      <c r="H66" s="39" t="n"/>
      <c r="K66" s="18">
        <f>IF(L66="","",L66&amp;"|"&amp;COUNTIF($L$6:L66,L66))</f>
        <v/>
      </c>
    </row>
    <row r="67">
      <c r="D67" s="18">
        <f>IF(E67="","",E67&amp;"|"&amp;COUNTIF($E$6:E67,E67))</f>
        <v/>
      </c>
      <c r="H67" s="39" t="n"/>
      <c r="K67" s="18">
        <f>IF(L67="","",L67&amp;"|"&amp;COUNTIF($L$6:L67,L67))</f>
        <v/>
      </c>
    </row>
    <row r="68">
      <c r="D68" s="18">
        <f>IF(E68="","",E68&amp;"|"&amp;COUNTIF($E$6:E68,E68))</f>
        <v/>
      </c>
      <c r="H68" s="39" t="n"/>
      <c r="K68" s="18">
        <f>IF(L68="","",L68&amp;"|"&amp;COUNTIF($L$6:L68,L68))</f>
        <v/>
      </c>
    </row>
    <row r="69">
      <c r="D69" s="18">
        <f>IF(E69="","",E69&amp;"|"&amp;COUNTIF($E$6:E69,E69))</f>
        <v/>
      </c>
      <c r="H69" s="39" t="n"/>
      <c r="K69" s="18">
        <f>IF(L69="","",L69&amp;"|"&amp;COUNTIF($L$6:L69,L69))</f>
        <v/>
      </c>
    </row>
    <row r="70">
      <c r="D70" s="18">
        <f>IF(E70="","",E70&amp;"|"&amp;COUNTIF($E$6:E70,E70))</f>
        <v/>
      </c>
      <c r="H70" s="39" t="n"/>
      <c r="K70" s="18">
        <f>IF(L70="","",L70&amp;"|"&amp;COUNTIF($L$6:L70,L70))</f>
        <v/>
      </c>
    </row>
    <row r="71">
      <c r="D71" s="18">
        <f>IF(E71="","",E71&amp;"|"&amp;COUNTIF($E$6:E71,E71))</f>
        <v/>
      </c>
      <c r="H71" s="39" t="n"/>
      <c r="K71" s="18">
        <f>IF(L71="","",L71&amp;"|"&amp;COUNTIF($L$6:L71,L71))</f>
        <v/>
      </c>
    </row>
    <row r="72">
      <c r="D72" s="18">
        <f>IF(E72="","",E72&amp;"|"&amp;COUNTIF($E$6:E72,E72))</f>
        <v/>
      </c>
      <c r="H72" s="39" t="n"/>
      <c r="K72" s="18">
        <f>IF(L72="","",L72&amp;"|"&amp;COUNTIF($L$6:L72,L72))</f>
        <v/>
      </c>
    </row>
    <row r="73">
      <c r="D73" s="18">
        <f>IF(E73="","",E73&amp;"|"&amp;COUNTIF($E$6:E73,E73))</f>
        <v/>
      </c>
      <c r="H73" s="39" t="n"/>
      <c r="K73" s="18">
        <f>IF(L73="","",L73&amp;"|"&amp;COUNTIF($L$6:L73,L73))</f>
        <v/>
      </c>
    </row>
    <row r="74">
      <c r="D74" s="18">
        <f>IF(E74="","",E74&amp;"|"&amp;COUNTIF($E$6:E74,E74))</f>
        <v/>
      </c>
      <c r="H74" s="39" t="n"/>
      <c r="K74" s="18">
        <f>IF(L74="","",L74&amp;"|"&amp;COUNTIF($L$6:L74,L74))</f>
        <v/>
      </c>
    </row>
    <row r="75">
      <c r="D75" s="18">
        <f>IF(E75="","",E75&amp;"|"&amp;COUNTIF($E$6:E75,E75))</f>
        <v/>
      </c>
      <c r="H75" s="39" t="n"/>
      <c r="K75" s="18">
        <f>IF(L75="","",L75&amp;"|"&amp;COUNTIF($L$6:L75,L75))</f>
        <v/>
      </c>
    </row>
    <row r="76">
      <c r="D76" s="18">
        <f>IF(E76="","",E76&amp;"|"&amp;COUNTIF($E$6:E76,E76))</f>
        <v/>
      </c>
      <c r="H76" s="39" t="n"/>
      <c r="K76" s="18">
        <f>IF(L76="","",L76&amp;"|"&amp;COUNTIF($L$6:L76,L76))</f>
        <v/>
      </c>
    </row>
    <row r="77">
      <c r="D77" s="18">
        <f>IF(E77="","",E77&amp;"|"&amp;COUNTIF($E$6:E77,E77))</f>
        <v/>
      </c>
      <c r="H77" s="39" t="n"/>
      <c r="K77" s="18">
        <f>IF(L77="","",L77&amp;"|"&amp;COUNTIF($L$6:L77,L77))</f>
        <v/>
      </c>
    </row>
    <row r="78">
      <c r="D78" s="18">
        <f>IF(E78="","",E78&amp;"|"&amp;COUNTIF($E$6:E78,E78))</f>
        <v/>
      </c>
      <c r="H78" s="39" t="n"/>
      <c r="K78" s="18">
        <f>IF(L78="","",L78&amp;"|"&amp;COUNTIF($L$6:L78,L78))</f>
        <v/>
      </c>
    </row>
    <row r="79">
      <c r="D79" s="18">
        <f>IF(E79="","",E79&amp;"|"&amp;COUNTIF($E$6:E79,E79))</f>
        <v/>
      </c>
      <c r="H79" s="39" t="n"/>
      <c r="K79" s="18">
        <f>IF(L79="","",L79&amp;"|"&amp;COUNTIF($L$6:L79,L79))</f>
        <v/>
      </c>
    </row>
    <row r="80">
      <c r="D80" s="18">
        <f>IF(E80="","",E80&amp;"|"&amp;COUNTIF($E$6:E80,E80))</f>
        <v/>
      </c>
      <c r="H80" s="39" t="n"/>
      <c r="K80" s="18">
        <f>IF(L80="","",L80&amp;"|"&amp;COUNTIF($L$6:L80,L80))</f>
        <v/>
      </c>
    </row>
    <row r="81">
      <c r="D81" s="18">
        <f>IF(E81="","",E81&amp;"|"&amp;COUNTIF($E$6:E81,E81))</f>
        <v/>
      </c>
      <c r="H81" s="39" t="n"/>
      <c r="K81" s="18">
        <f>IF(L81="","",L81&amp;"|"&amp;COUNTIF($L$6:L81,L81))</f>
        <v/>
      </c>
    </row>
    <row r="82">
      <c r="D82" s="18">
        <f>IF(E82="","",E82&amp;"|"&amp;COUNTIF($E$6:E82,E82))</f>
        <v/>
      </c>
      <c r="H82" s="39" t="n"/>
      <c r="K82" s="18">
        <f>IF(L82="","",L82&amp;"|"&amp;COUNTIF($L$6:L82,L82))</f>
        <v/>
      </c>
    </row>
    <row r="83">
      <c r="D83" s="18">
        <f>IF(E83="","",E83&amp;"|"&amp;COUNTIF($E$6:E83,E83))</f>
        <v/>
      </c>
      <c r="H83" s="39" t="n"/>
      <c r="K83" s="18">
        <f>IF(L83="","",L83&amp;"|"&amp;COUNTIF($L$6:L83,L83))</f>
        <v/>
      </c>
    </row>
    <row r="84">
      <c r="D84" s="18">
        <f>IF(E84="","",E84&amp;"|"&amp;COUNTIF($E$6:E84,E84))</f>
        <v/>
      </c>
      <c r="H84" s="39" t="n"/>
      <c r="K84" s="18">
        <f>IF(L84="","",L84&amp;"|"&amp;COUNTIF($L$6:L84,L84))</f>
        <v/>
      </c>
    </row>
    <row r="85">
      <c r="D85" s="18">
        <f>IF(E85="","",E85&amp;"|"&amp;COUNTIF($E$6:E85,E85))</f>
        <v/>
      </c>
      <c r="H85" s="39" t="n"/>
      <c r="K85" s="18">
        <f>IF(L85="","",L85&amp;"|"&amp;COUNTIF($L$6:L85,L85))</f>
        <v/>
      </c>
    </row>
    <row r="86">
      <c r="D86" s="18">
        <f>IF(E86="","",E86&amp;"|"&amp;COUNTIF($E$6:E86,E86))</f>
        <v/>
      </c>
      <c r="H86" s="39" t="n"/>
      <c r="K86" s="18">
        <f>IF(L86="","",L86&amp;"|"&amp;COUNTIF($L$6:L86,L86))</f>
        <v/>
      </c>
    </row>
    <row r="87">
      <c r="D87" s="18">
        <f>IF(E87="","",E87&amp;"|"&amp;COUNTIF($E$6:E87,E87))</f>
        <v/>
      </c>
      <c r="H87" s="39" t="n"/>
      <c r="K87" s="18">
        <f>IF(L87="","",L87&amp;"|"&amp;COUNTIF($L$6:L87,L87))</f>
        <v/>
      </c>
    </row>
    <row r="88">
      <c r="D88" s="18">
        <f>IF(E88="","",E88&amp;"|"&amp;COUNTIF($E$6:E88,E88))</f>
        <v/>
      </c>
      <c r="H88" s="39" t="n"/>
      <c r="K88" s="18">
        <f>IF(L88="","",L88&amp;"|"&amp;COUNTIF($L$6:L88,L88))</f>
        <v/>
      </c>
    </row>
    <row r="89">
      <c r="D89" s="18">
        <f>IF(E89="","",E89&amp;"|"&amp;COUNTIF($E$6:E89,E89))</f>
        <v/>
      </c>
      <c r="H89" s="39" t="n"/>
      <c r="K89" s="18">
        <f>IF(L89="","",L89&amp;"|"&amp;COUNTIF($L$6:L89,L89))</f>
        <v/>
      </c>
    </row>
    <row r="90">
      <c r="D90" s="18">
        <f>IF(E90="","",E90&amp;"|"&amp;COUNTIF($E$6:E90,E90))</f>
        <v/>
      </c>
      <c r="H90" s="39" t="n"/>
      <c r="K90" s="18">
        <f>IF(L90="","",L90&amp;"|"&amp;COUNTIF($L$6:L90,L90))</f>
        <v/>
      </c>
    </row>
    <row r="91">
      <c r="D91" s="18">
        <f>IF(E91="","",E91&amp;"|"&amp;COUNTIF($E$6:E91,E91))</f>
        <v/>
      </c>
      <c r="H91" s="39" t="n"/>
      <c r="K91" s="18">
        <f>IF(L91="","",L91&amp;"|"&amp;COUNTIF($L$6:L91,L91))</f>
        <v/>
      </c>
    </row>
    <row r="92">
      <c r="D92" s="18">
        <f>IF(E92="","",E92&amp;"|"&amp;COUNTIF($E$6:E92,E92))</f>
        <v/>
      </c>
      <c r="H92" s="39" t="n"/>
      <c r="K92" s="18">
        <f>IF(L92="","",L92&amp;"|"&amp;COUNTIF($L$6:L92,L92))</f>
        <v/>
      </c>
    </row>
    <row r="93">
      <c r="D93" s="18">
        <f>IF(E93="","",E93&amp;"|"&amp;COUNTIF($E$6:E93,E93))</f>
        <v/>
      </c>
      <c r="H93" s="39" t="n"/>
      <c r="K93" s="18">
        <f>IF(L93="","",L93&amp;"|"&amp;COUNTIF($L$6:L93,L93))</f>
        <v/>
      </c>
    </row>
    <row r="94">
      <c r="D94" s="18">
        <f>IF(E94="","",E94&amp;"|"&amp;COUNTIF($E$6:E94,E94))</f>
        <v/>
      </c>
      <c r="H94" s="39" t="n"/>
      <c r="K94" s="18">
        <f>IF(L94="","",L94&amp;"|"&amp;COUNTIF($L$6:L94,L94))</f>
        <v/>
      </c>
    </row>
    <row r="95">
      <c r="D95" s="18">
        <f>IF(E95="","",E95&amp;"|"&amp;COUNTIF($E$6:E95,E95))</f>
        <v/>
      </c>
      <c r="H95" s="39" t="n"/>
      <c r="K95" s="18">
        <f>IF(L95="","",L95&amp;"|"&amp;COUNTIF($L$6:L95,L95))</f>
        <v/>
      </c>
    </row>
    <row r="96">
      <c r="D96" s="18">
        <f>IF(E96="","",E96&amp;"|"&amp;COUNTIF($E$6:E96,E96))</f>
        <v/>
      </c>
      <c r="H96" s="39" t="n"/>
      <c r="K96" s="18">
        <f>IF(L96="","",L96&amp;"|"&amp;COUNTIF($L$6:L96,L96))</f>
        <v/>
      </c>
    </row>
    <row r="97">
      <c r="D97" s="18">
        <f>IF(E97="","",E97&amp;"|"&amp;COUNTIF($E$6:E97,E97))</f>
        <v/>
      </c>
      <c r="H97" s="39" t="n"/>
      <c r="K97" s="18">
        <f>IF(L97="","",L97&amp;"|"&amp;COUNTIF($L$6:L97,L97))</f>
        <v/>
      </c>
    </row>
    <row r="98">
      <c r="D98" s="18">
        <f>IF(E98="","",E98&amp;"|"&amp;COUNTIF($E$6:E98,E98))</f>
        <v/>
      </c>
      <c r="H98" s="39" t="n"/>
      <c r="K98" s="18">
        <f>IF(L98="","",L98&amp;"|"&amp;COUNTIF($L$6:L98,L98))</f>
        <v/>
      </c>
    </row>
    <row r="99">
      <c r="D99" s="18">
        <f>IF(E99="","",E99&amp;"|"&amp;COUNTIF($E$6:E99,E99))</f>
        <v/>
      </c>
      <c r="H99" s="39" t="n"/>
      <c r="K99" s="18">
        <f>IF(L99="","",L99&amp;"|"&amp;COUNTIF($L$6:L99,L99))</f>
        <v/>
      </c>
    </row>
    <row r="100">
      <c r="D100" s="18">
        <f>IF(E100="","",E100&amp;"|"&amp;COUNTIF($E$6:E100,E100))</f>
        <v/>
      </c>
      <c r="H100" s="39" t="n"/>
      <c r="K100" s="18">
        <f>IF(L100="","",L100&amp;"|"&amp;COUNTIF($L$6:L100,L100))</f>
        <v/>
      </c>
    </row>
    <row r="101">
      <c r="D101" s="18">
        <f>IF(E101="","",E101&amp;"|"&amp;COUNTIF($E$6:E101,E101))</f>
        <v/>
      </c>
      <c r="H101" s="39" t="n"/>
      <c r="K101" s="18">
        <f>IF(L101="","",L101&amp;"|"&amp;COUNTIF($L$6:L101,L101))</f>
        <v/>
      </c>
    </row>
    <row r="102">
      <c r="D102" s="18">
        <f>IF(E102="","",E102&amp;"|"&amp;COUNTIF($E$6:E102,E102))</f>
        <v/>
      </c>
      <c r="H102" s="39" t="n"/>
      <c r="K102" s="18">
        <f>IF(L102="","",L102&amp;"|"&amp;COUNTIF($L$6:L102,L102))</f>
        <v/>
      </c>
    </row>
    <row r="103">
      <c r="D103" s="18">
        <f>IF(E103="","",E103&amp;"|"&amp;COUNTIF($E$6:E103,E103))</f>
        <v/>
      </c>
      <c r="H103" s="39" t="n"/>
      <c r="K103" s="18">
        <f>IF(L103="","",L103&amp;"|"&amp;COUNTIF($L$6:L103,L103))</f>
        <v/>
      </c>
    </row>
    <row r="104">
      <c r="D104" s="18">
        <f>IF(E104="","",E104&amp;"|"&amp;COUNTIF($E$6:E104,E104))</f>
        <v/>
      </c>
      <c r="H104" s="39" t="n"/>
      <c r="K104" s="18">
        <f>IF(L104="","",L104&amp;"|"&amp;COUNTIF($L$6:L104,L104))</f>
        <v/>
      </c>
    </row>
    <row r="105">
      <c r="D105" s="18">
        <f>IF(E105="","",E105&amp;"|"&amp;COUNTIF($E$6:E105,E105))</f>
        <v/>
      </c>
      <c r="H105" s="39" t="n"/>
      <c r="K105" s="18">
        <f>IF(L105="","",L105&amp;"|"&amp;COUNTIF($L$6:L105,L105))</f>
        <v/>
      </c>
    </row>
    <row r="106">
      <c r="K106" s="18">
        <f>IF(L106="","",L106&amp;"|"&amp;COUNTIF($L$6:L106,L106))</f>
        <v/>
      </c>
    </row>
    <row r="107">
      <c r="K107" s="18">
        <f>IF(L107="","",L107&amp;"|"&amp;COUNTIF($L$6:L107,L107))</f>
        <v/>
      </c>
    </row>
    <row r="108">
      <c r="K108" s="18">
        <f>IF(L108="","",L108&amp;"|"&amp;COUNTIF($L$6:L108,L108))</f>
        <v/>
      </c>
    </row>
    <row r="109">
      <c r="K109" s="18">
        <f>IF(L109="","",L109&amp;"|"&amp;COUNTIF($L$6:L109,L109))</f>
        <v/>
      </c>
    </row>
    <row r="110">
      <c r="K110" s="18">
        <f>IF(L110="","",L110&amp;"|"&amp;COUNTIF($L$6:L110,L110))</f>
        <v/>
      </c>
    </row>
    <row r="111">
      <c r="K111" s="18">
        <f>IF(L111="","",L111&amp;"|"&amp;COUNTIF($L$6:L111,L111))</f>
        <v/>
      </c>
    </row>
    <row r="112">
      <c r="K112" s="18">
        <f>IF(L112="","",L112&amp;"|"&amp;COUNTIF($L$6:L112,L112))</f>
        <v/>
      </c>
    </row>
    <row r="113">
      <c r="K113" s="18">
        <f>IF(L113="","",L113&amp;"|"&amp;COUNTIF($L$6:L113,L113))</f>
        <v/>
      </c>
    </row>
    <row r="114">
      <c r="K114" s="18">
        <f>IF(L114="","",L114&amp;"|"&amp;COUNTIF($L$6:L114,L114))</f>
        <v/>
      </c>
    </row>
    <row r="115">
      <c r="K115" s="18">
        <f>IF(L115="","",L115&amp;"|"&amp;COUNTIF($L$6:L115,L115))</f>
        <v/>
      </c>
    </row>
    <row r="116">
      <c r="K116" s="18">
        <f>IF(L116="","",L116&amp;"|"&amp;COUNTIF($L$6:L116,L116))</f>
        <v/>
      </c>
    </row>
    <row r="117">
      <c r="K117" s="18">
        <f>IF(L117="","",L117&amp;"|"&amp;COUNTIF($L$6:L117,L117))</f>
        <v/>
      </c>
    </row>
    <row r="118">
      <c r="K118" s="18">
        <f>IF(L118="","",L118&amp;"|"&amp;COUNTIF($L$6:L118,L118))</f>
        <v/>
      </c>
    </row>
    <row r="119">
      <c r="K119" s="18">
        <f>IF(L119="","",L119&amp;"|"&amp;COUNTIF($L$6:L119,L119))</f>
        <v/>
      </c>
    </row>
    <row r="120">
      <c r="K120" s="18">
        <f>IF(L120="","",L120&amp;"|"&amp;COUNTIF($L$6:L120,L120))</f>
        <v/>
      </c>
    </row>
    <row r="121">
      <c r="K121" s="18">
        <f>IF(L121="","",L121&amp;"|"&amp;COUNTIF($L$6:L121,L121))</f>
        <v/>
      </c>
    </row>
    <row r="122">
      <c r="K122" s="18">
        <f>IF(L122="","",L122&amp;"|"&amp;COUNTIF($L$6:L122,L122))</f>
        <v/>
      </c>
    </row>
    <row r="123">
      <c r="K123" s="18">
        <f>IF(L123="","",L123&amp;"|"&amp;COUNTIF($L$6:L123,L123))</f>
        <v/>
      </c>
    </row>
    <row r="124">
      <c r="K124" s="18">
        <f>IF(L124="","",L124&amp;"|"&amp;COUNTIF($L$6:L124,L124))</f>
        <v/>
      </c>
    </row>
    <row r="125">
      <c r="K125" s="18">
        <f>IF(L125="","",L125&amp;"|"&amp;COUNTIF($L$6:L125,L125))</f>
        <v/>
      </c>
    </row>
    <row r="126">
      <c r="K126" s="18">
        <f>IF(L126="","",L126&amp;"|"&amp;COUNTIF($L$6:L126,L126))</f>
        <v/>
      </c>
    </row>
    <row r="127">
      <c r="K127" s="18">
        <f>IF(L127="","",L127&amp;"|"&amp;COUNTIF($L$6:L127,L127))</f>
        <v/>
      </c>
    </row>
    <row r="128">
      <c r="K128" s="18">
        <f>IF(L128="","",L128&amp;"|"&amp;COUNTIF($L$6:L128,L128))</f>
        <v/>
      </c>
    </row>
    <row r="129">
      <c r="K129" s="18">
        <f>IF(L129="","",L129&amp;"|"&amp;COUNTIF($L$6:L129,L129))</f>
        <v/>
      </c>
    </row>
    <row r="130">
      <c r="K130" s="18">
        <f>IF(L130="","",L130&amp;"|"&amp;COUNTIF($L$6:L130,L130))</f>
        <v/>
      </c>
    </row>
    <row r="131">
      <c r="K131" s="18">
        <f>IF(L131="","",L131&amp;"|"&amp;COUNTIF($L$6:L131,L131))</f>
        <v/>
      </c>
    </row>
    <row r="132">
      <c r="K132" s="18">
        <f>IF(L132="","",L132&amp;"|"&amp;COUNTIF($L$6:L132,L132))</f>
        <v/>
      </c>
    </row>
    <row r="133">
      <c r="K133" s="18">
        <f>IF(L133="","",L133&amp;"|"&amp;COUNTIF($L$6:L133,L133))</f>
        <v/>
      </c>
    </row>
    <row r="134">
      <c r="K134" s="18">
        <f>IF(L134="","",L134&amp;"|"&amp;COUNTIF($L$6:L134,L134))</f>
        <v/>
      </c>
    </row>
    <row r="135">
      <c r="K135" s="18">
        <f>IF(L135="","",L135&amp;"|"&amp;COUNTIF($L$6:L135,L135))</f>
        <v/>
      </c>
    </row>
    <row r="136">
      <c r="K136" s="18">
        <f>IF(L136="","",L136&amp;"|"&amp;COUNTIF($L$6:L136,L136))</f>
        <v/>
      </c>
    </row>
    <row r="137">
      <c r="K137" s="18">
        <f>IF(L137="","",L137&amp;"|"&amp;COUNTIF($L$6:L137,L137))</f>
        <v/>
      </c>
    </row>
    <row r="138">
      <c r="K138" s="18">
        <f>IF(L138="","",L138&amp;"|"&amp;COUNTIF($L$6:L138,L138))</f>
        <v/>
      </c>
    </row>
    <row r="139">
      <c r="K139" s="18">
        <f>IF(L139="","",L139&amp;"|"&amp;COUNTIF($L$6:L139,L139))</f>
        <v/>
      </c>
    </row>
    <row r="140">
      <c r="K140" s="18">
        <f>IF(L140="","",L140&amp;"|"&amp;COUNTIF($L$6:L140,L140))</f>
        <v/>
      </c>
    </row>
    <row r="141">
      <c r="K141" s="18">
        <f>IF(L141="","",L141&amp;"|"&amp;COUNTIF($L$6:L141,L141))</f>
        <v/>
      </c>
    </row>
    <row r="142">
      <c r="K142" s="18">
        <f>IF(L142="","",L142&amp;"|"&amp;COUNTIF($L$6:L142,L142))</f>
        <v/>
      </c>
    </row>
    <row r="143">
      <c r="K143" s="18">
        <f>IF(L143="","",L143&amp;"|"&amp;COUNTIF($L$6:L143,L143))</f>
        <v/>
      </c>
    </row>
    <row r="144">
      <c r="K144" s="18">
        <f>IF(L144="","",L144&amp;"|"&amp;COUNTIF($L$6:L144,L144))</f>
        <v/>
      </c>
    </row>
    <row r="145">
      <c r="K145" s="18">
        <f>IF(L145="","",L145&amp;"|"&amp;COUNTIF($L$6:L145,L145))</f>
        <v/>
      </c>
    </row>
    <row r="146">
      <c r="K146" s="18">
        <f>IF(L146="","",L146&amp;"|"&amp;COUNTIF($L$6:L146,L146))</f>
        <v/>
      </c>
    </row>
    <row r="147">
      <c r="K147" s="18">
        <f>IF(L147="","",L147&amp;"|"&amp;COUNTIF($L$6:L147,L147))</f>
        <v/>
      </c>
    </row>
    <row r="148">
      <c r="K148" s="18">
        <f>IF(L148="","",L148&amp;"|"&amp;COUNTIF($L$6:L148,L148))</f>
        <v/>
      </c>
    </row>
    <row r="149">
      <c r="K149" s="18">
        <f>IF(L149="","",L149&amp;"|"&amp;COUNTIF($L$6:L149,L149))</f>
        <v/>
      </c>
    </row>
    <row r="150">
      <c r="K150" s="18">
        <f>IF(L150="","",L150&amp;"|"&amp;COUNTIF($L$6:L150,L150))</f>
        <v/>
      </c>
    </row>
    <row r="151">
      <c r="K151" s="18">
        <f>IF(L151="","",L151&amp;"|"&amp;COUNTIF($L$6:L151,L151))</f>
        <v/>
      </c>
    </row>
    <row r="152">
      <c r="K152" s="18">
        <f>IF(L152="","",L152&amp;"|"&amp;COUNTIF($L$6:L152,L152))</f>
        <v/>
      </c>
    </row>
    <row r="153">
      <c r="K153" s="18">
        <f>IF(L153="","",L153&amp;"|"&amp;COUNTIF($L$6:L153,L153))</f>
        <v/>
      </c>
    </row>
    <row r="154">
      <c r="K154" s="18">
        <f>IF(L154="","",L154&amp;"|"&amp;COUNTIF($L$6:L154,L154))</f>
        <v/>
      </c>
    </row>
    <row r="155">
      <c r="K155" s="18">
        <f>IF(L155="","",L155&amp;"|"&amp;COUNTIF($L$6:L155,L155))</f>
        <v/>
      </c>
    </row>
  </sheetData>
  <conditionalFormatting sqref="E6:I105">
    <cfRule type="expression" priority="1" dxfId="0">
      <formula>$I6="PLACEHOLDER"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2026-10-28T21:07:50Z</dcterms:created>
  <dcterms:modified xmlns:dcterms="http://purl.org/dc/terms/" xmlns:xsi="http://www.w3.org/2001/XMLSchema-instance" xsi:type="dcterms:W3CDTF">2026-10-28T21:07:50Z</dcterms:modified>
</cp:coreProperties>
</file>