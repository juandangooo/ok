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ge 1 · Story" sheetId="2" state="visible" r:id="rId2"/>
    <sheet xmlns:r="http://schemas.openxmlformats.org/officeDocument/2006/relationships" name="Page 2 · Details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Rates" sheetId="5" state="visible" r:id="rId5"/>
    <sheet xmlns:r="http://schemas.openxmlformats.org/officeDocument/2006/relationships" name="Event Log" sheetId="6" state="visible" r:id="rId6"/>
  </sheets>
  <definedNames>
    <definedName name="_xlnm.Print_Area" localSheetId="1">'Page 1 · Story'!$A$1:$K$40</definedName>
    <definedName name="_xlnm.Print_Area" localSheetId="2">'Page 2 · Details'!$A$1:$K$36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m d, yyyy"/>
    <numFmt numFmtId="165" formatCode="0.0%"/>
    <numFmt numFmtId="166" formatCode="&quot;$&quot;#,##0"/>
    <numFmt numFmtId="167" formatCode="mmm d, yyyy"/>
  </numFmts>
  <fonts count="34">
    <font>
      <name val="Calibri"/>
      <family val="2"/>
      <color theme="1"/>
      <sz val="11"/>
      <scheme val="minor"/>
    </font>
    <font>
      <name val="Inter"/>
      <b val="1"/>
      <color rgb="00171717"/>
      <sz val="24"/>
    </font>
    <font>
      <name val="Inter"/>
      <color rgb="006B6B6B"/>
      <sz val="11"/>
    </font>
    <font>
      <name val="Inter"/>
      <b val="1"/>
      <color rgb="000096CF"/>
      <sz val="14"/>
    </font>
    <font>
      <name val="Inter"/>
      <b val="1"/>
      <color rgb="00171717"/>
      <sz val="11"/>
    </font>
    <font>
      <name val="Inter"/>
      <color rgb="006B6B6B"/>
      <sz val="10.5"/>
    </font>
    <font>
      <name val="Inter"/>
      <color rgb="00E8382F"/>
      <sz val="10.5"/>
    </font>
    <font>
      <name val="Inter"/>
      <i val="1"/>
      <color rgb="006B6B6B"/>
      <sz val="10"/>
    </font>
    <font>
      <name val="Inter"/>
      <b val="1"/>
      <color rgb="00171717"/>
      <sz val="20"/>
    </font>
    <font>
      <name val="Inter"/>
      <color rgb="00171717"/>
      <sz val="10.5"/>
    </font>
    <font>
      <name val="Inter"/>
      <color rgb="00E8382F"/>
      <sz val="9.5"/>
    </font>
    <font>
      <name val="Inter"/>
      <color rgb="006B6B6B"/>
      <sz val="9.5"/>
    </font>
    <font>
      <name val="Inter"/>
      <b val="1"/>
      <color rgb="006B6B6B"/>
      <sz val="9"/>
    </font>
    <font>
      <name val="Inter"/>
      <color rgb="006B6B6B"/>
      <sz val="10"/>
    </font>
    <font>
      <name val="Inter"/>
      <b val="1"/>
      <color rgb="00171717"/>
      <sz val="10"/>
    </font>
    <font>
      <name val="Inter"/>
      <color rgb="00171717"/>
      <sz val="10"/>
    </font>
    <font>
      <name val="Inter"/>
      <b val="1"/>
      <color rgb="00E8382F"/>
      <sz val="10.5"/>
    </font>
    <font>
      <name val="Inter"/>
      <b val="1"/>
      <color rgb="006B6B6B"/>
      <sz val="8.5"/>
    </font>
    <font>
      <name val="Inter"/>
      <color rgb="006B6B6B"/>
      <sz val="8.5"/>
    </font>
    <font>
      <name val="Inter"/>
      <b val="1"/>
      <color rgb="000096CF"/>
      <sz val="9"/>
    </font>
    <font>
      <name val="Inter"/>
      <b val="1"/>
      <color rgb="00171717"/>
      <sz val="32"/>
    </font>
    <font>
      <name val="Inter"/>
      <color rgb="006B6B6B"/>
      <sz val="9"/>
    </font>
    <font>
      <name val="Inter"/>
      <b val="1"/>
      <color rgb="00171717"/>
      <sz val="15"/>
    </font>
    <font>
      <name val="Inter"/>
      <b val="1"/>
      <color rgb="00171717"/>
      <sz val="12"/>
    </font>
    <font>
      <name val="Inter"/>
      <b val="1"/>
      <color rgb="00171717"/>
      <sz val="14"/>
    </font>
    <font>
      <name val="Inter"/>
      <b val="1"/>
      <color rgb="00E8382F"/>
      <sz val="8.5"/>
    </font>
    <font>
      <name val="Inter"/>
      <b val="1"/>
      <color rgb="00A3A3A3"/>
      <sz val="8"/>
    </font>
    <font>
      <name val="Inter"/>
      <b val="1"/>
      <color rgb="000096CF"/>
      <sz val="8.5"/>
    </font>
    <font>
      <name val="Inter"/>
      <b val="1"/>
      <color rgb="00171717"/>
      <sz val="9.5"/>
    </font>
    <font>
      <name val="Inter"/>
      <color rgb="00171717"/>
      <sz val="9.5"/>
    </font>
    <font>
      <name val="Inter"/>
      <color rgb="00A3A3A3"/>
      <sz val="8.5"/>
    </font>
    <font>
      <name val="Inter"/>
      <b val="1"/>
      <color rgb="00171717"/>
      <sz val="10.5"/>
    </font>
    <font>
      <name val="Inter"/>
      <i val="1"/>
      <color rgb="006B6B6B"/>
      <sz val="10.5"/>
    </font>
    <font>
      <name val="Inter"/>
      <i val="1"/>
      <color rgb="00A3A3A3"/>
      <sz val="10"/>
    </font>
  </fonts>
  <fills count="5">
    <fill>
      <patternFill/>
    </fill>
    <fill>
      <patternFill patternType="gray125"/>
    </fill>
    <fill>
      <patternFill patternType="solid">
        <fgColor rgb="00FAF9F6"/>
        <bgColor rgb="00FAF9F6"/>
      </patternFill>
    </fill>
    <fill>
      <patternFill patternType="solid">
        <fgColor rgb="00EAF4FA"/>
        <bgColor rgb="00EAF4FA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bottom style="thin">
        <color rgb="00E7E5E0"/>
      </bottom>
    </border>
    <border>
      <top style="thin">
        <color rgb="00171717"/>
      </top>
    </border>
    <border>
      <top style="thin">
        <color rgb="00E7E5E0"/>
      </top>
    </border>
    <border>
      <left/>
      <right/>
      <top style="thin">
        <color rgb="00E7E5E0"/>
      </top>
      <bottom/>
      <diagonal/>
    </border>
    <border>
      <right/>
      <top style="thin">
        <color rgb="00E7E5E0"/>
      </top>
      <bottom/>
    </border>
    <border>
      <top style="medium">
        <color rgb="00171717"/>
      </top>
    </border>
    <border>
      <left/>
      <right/>
      <top style="medium">
        <color rgb="00171717"/>
      </top>
      <bottom/>
      <diagonal/>
    </border>
    <border>
      <bottom style="thin">
        <color rgb="00171717"/>
      </bottom>
    </border>
    <border/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top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17" fillId="4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right" vertical="center"/>
    </xf>
    <xf numFmtId="0" fontId="19" fillId="4" borderId="0" applyAlignment="1" pivotButton="0" quotePrefix="0" xfId="0">
      <alignment horizontal="left" vertical="center"/>
    </xf>
    <xf numFmtId="0" fontId="20" fillId="4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bottom"/>
    </xf>
    <xf numFmtId="0" fontId="0" fillId="0" borderId="2" pivotButton="0" quotePrefix="0" xfId="0"/>
    <xf numFmtId="0" fontId="21" fillId="4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3" fillId="4" borderId="3" applyAlignment="1" pivotButton="0" quotePrefix="0" xfId="0">
      <alignment horizontal="left" vertical="bottom"/>
    </xf>
    <xf numFmtId="0" fontId="0" fillId="0" borderId="4" pivotButton="0" quotePrefix="0" xfId="0"/>
    <xf numFmtId="166" fontId="24" fillId="4" borderId="5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top"/>
    </xf>
    <xf numFmtId="0" fontId="15" fillId="4" borderId="1" applyAlignment="1" pivotButton="0" quotePrefix="0" xfId="0">
      <alignment horizontal="left" vertical="center"/>
    </xf>
    <xf numFmtId="0" fontId="0" fillId="0" borderId="1" pivotButton="0" quotePrefix="0" xfId="0"/>
    <xf numFmtId="0" fontId="25" fillId="4" borderId="6" applyAlignment="1" pivotButton="0" quotePrefix="0" xfId="0">
      <alignment horizontal="left" vertical="bottom"/>
    </xf>
    <xf numFmtId="0" fontId="0" fillId="0" borderId="7" pivotButton="0" quotePrefix="0" xfId="0"/>
    <xf numFmtId="0" fontId="0" fillId="4" borderId="6" pivotButton="0" quotePrefix="0" xfId="0"/>
    <xf numFmtId="166" fontId="20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26" fillId="4" borderId="8" applyAlignment="1" pivotButton="0" quotePrefix="0" xfId="0">
      <alignment horizontal="left" vertical="center"/>
    </xf>
    <xf numFmtId="0" fontId="0" fillId="0" borderId="8" pivotButton="0" quotePrefix="0" xfId="0"/>
    <xf numFmtId="0" fontId="26" fillId="4" borderId="8" applyAlignment="1" pivotButton="0" quotePrefix="0" xfId="0">
      <alignment horizontal="center" vertical="center"/>
    </xf>
    <xf numFmtId="0" fontId="26" fillId="4" borderId="8" applyAlignment="1" pivotButton="0" quotePrefix="0" xfId="0">
      <alignment horizontal="right" vertical="center"/>
    </xf>
    <xf numFmtId="0" fontId="27" fillId="4" borderId="0" applyAlignment="1" pivotButton="0" quotePrefix="0" xfId="0">
      <alignment horizontal="left" vertical="bottom"/>
    </xf>
    <xf numFmtId="0" fontId="2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left" vertical="center" wrapText="1"/>
    </xf>
    <xf numFmtId="0" fontId="29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right" vertical="center"/>
    </xf>
    <xf numFmtId="166" fontId="28" fillId="4" borderId="1" applyAlignment="1" pivotButton="0" quotePrefix="0" xfId="0">
      <alignment horizontal="right" vertical="center"/>
    </xf>
    <xf numFmtId="0" fontId="28" fillId="4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18" fillId="4" borderId="9" applyAlignment="1" pivotButton="0" quotePrefix="0" xfId="0">
      <alignment horizontal="left" vertical="center" wrapText="1"/>
    </xf>
    <xf numFmtId="0" fontId="29" fillId="4" borderId="9" applyAlignment="1" pivotButton="0" quotePrefix="0" xfId="0">
      <alignment horizontal="center" vertical="center"/>
    </xf>
    <xf numFmtId="166" fontId="11" fillId="4" borderId="9" applyAlignment="1" pivotButton="0" quotePrefix="0" xfId="0">
      <alignment horizontal="right" vertical="center"/>
    </xf>
    <xf numFmtId="166" fontId="28" fillId="4" borderId="9" applyAlignment="1" pivotButton="0" quotePrefix="0" xfId="0">
      <alignment horizontal="right" vertical="center"/>
    </xf>
    <xf numFmtId="0" fontId="13" fillId="4" borderId="0" applyAlignment="1" pivotButton="0" quotePrefix="0" xfId="0">
      <alignment horizontal="right" vertical="center"/>
    </xf>
    <xf numFmtId="166" fontId="15" fillId="4" borderId="0" applyAlignment="1" pivotButton="0" quotePrefix="0" xfId="0">
      <alignment horizontal="right" vertical="center"/>
    </xf>
    <xf numFmtId="0" fontId="23" fillId="4" borderId="2" applyAlignment="1" pivotButton="0" quotePrefix="0" xfId="0">
      <alignment horizontal="right" vertical="center"/>
    </xf>
    <xf numFmtId="166" fontId="23" fillId="4" borderId="2" applyAlignment="1" pivotButton="0" quotePrefix="0" xfId="0">
      <alignment horizontal="right" vertical="center"/>
    </xf>
    <xf numFmtId="0" fontId="23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top" wrapText="1"/>
    </xf>
    <xf numFmtId="0" fontId="30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164" fontId="9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9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/>
    </xf>
    <xf numFmtId="0" fontId="9" fillId="3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right" vertical="center"/>
    </xf>
    <xf numFmtId="166" fontId="4" fillId="0" borderId="2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166" fontId="15" fillId="3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12" fillId="0" borderId="8" pivotButton="0" quotePrefix="0" xfId="0"/>
    <xf numFmtId="167" fontId="33" fillId="0" borderId="1" pivotButton="0" quotePrefix="0" xfId="0"/>
    <xf numFmtId="0" fontId="33" fillId="0" borderId="1" pivotButton="0" quotePrefix="0" xfId="0"/>
    <xf numFmtId="166" fontId="33" fillId="0" borderId="1" pivotButton="0" quotePrefix="0" xfId="0"/>
    <xf numFmtId="167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38</row>
      <rowOff>9525</rowOff>
    </from>
    <ext cx="533400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19050</colOff>
      <row>38</row>
      <rowOff>28575</rowOff>
    </from>
    <ext cx="1638300" cy="504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90" customWidth="1" min="3" max="3"/>
  </cols>
  <sheetData>
    <row r="1">
      <c r="A1" s="1" t="n"/>
      <c r="B1" s="1" t="n"/>
      <c r="C1" s="1" t="n"/>
      <c r="D1" s="1" t="n"/>
    </row>
    <row r="2" ht="36" customHeight="1">
      <c r="A2" s="1" t="n"/>
      <c r="B2" s="2" t="inlineStr">
        <is>
          <t>Client One-Pager</t>
        </is>
      </c>
      <c r="D2" s="1" t="n"/>
    </row>
    <row r="3">
      <c r="A3" s="1" t="n"/>
      <c r="B3" s="3" t="inlineStr">
        <is>
          <t>Fill in one tab. Two print-ready pages build themselves.</t>
        </is>
      </c>
      <c r="D3" s="1" t="n"/>
    </row>
    <row r="4">
      <c r="A4" s="1" t="n"/>
      <c r="B4" s="1" t="n"/>
      <c r="C4" s="1" t="n"/>
      <c r="D4" s="1" t="n"/>
    </row>
    <row r="5">
      <c r="A5" s="1" t="n"/>
      <c r="B5" s="4" t="inlineStr">
        <is>
          <t>1</t>
        </is>
      </c>
      <c r="C5" s="5" t="inlineStr">
        <is>
          <t>Rates</t>
        </is>
      </c>
      <c r="D5" s="1" t="n"/>
    </row>
    <row r="6" ht="34" customHeight="1">
      <c r="A6" s="1" t="n"/>
      <c r="B6" s="1" t="n"/>
      <c r="C6" s="6" t="inlineStr">
        <is>
          <t>Enter the real prices once. The numbers there now are placeholders. Every quote uses these.</t>
        </is>
      </c>
      <c r="D6" s="1" t="n"/>
    </row>
    <row r="7">
      <c r="A7" s="1" t="n"/>
      <c r="B7" s="1" t="n"/>
      <c r="C7" s="1" t="n"/>
      <c r="D7" s="1" t="n"/>
    </row>
    <row r="8">
      <c r="A8" s="1" t="n"/>
      <c r="B8" s="4" t="inlineStr">
        <is>
          <t>2</t>
        </is>
      </c>
      <c r="C8" s="5" t="inlineStr">
        <is>
          <t>Inputs</t>
        </is>
      </c>
      <c r="D8" s="1" t="n"/>
    </row>
    <row r="9" ht="34" customHeight="1">
      <c r="A9" s="1" t="n"/>
      <c r="B9" s="1" t="n"/>
      <c r="C9" s="6" t="inlineStr">
        <is>
          <t>For each client, fill in the blue cells: who, when, and how many of each item.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4" t="inlineStr">
        <is>
          <t>3</t>
        </is>
      </c>
      <c r="C11" s="5" t="inlineStr">
        <is>
          <t>Page 1 · Story</t>
        </is>
      </c>
      <c r="D11" s="1" t="n"/>
    </row>
    <row r="12" ht="34" customHeight="1">
      <c r="A12" s="1" t="n"/>
      <c r="B12" s="1" t="n"/>
      <c r="C12" s="6" t="inlineStr">
        <is>
          <t>The one-pager. Check it reads well for this client.</t>
        </is>
      </c>
      <c r="D12" s="1" t="n"/>
    </row>
    <row r="13">
      <c r="A13" s="1" t="n"/>
      <c r="B13" s="1" t="n"/>
      <c r="C13" s="1" t="n"/>
      <c r="D13" s="1" t="n"/>
    </row>
    <row r="14">
      <c r="A14" s="1" t="n"/>
      <c r="B14" s="4" t="inlineStr">
        <is>
          <t>4</t>
        </is>
      </c>
      <c r="C14" s="5" t="inlineStr">
        <is>
          <t>Page 2 · Details</t>
        </is>
      </c>
      <c r="D14" s="1" t="n"/>
    </row>
    <row r="15" ht="34" customHeight="1">
      <c r="A15" s="1" t="n"/>
      <c r="B15" s="1" t="n"/>
      <c r="C15" s="6" t="inlineStr">
        <is>
          <t>Every line item with prices, for the person who wants the detail.</t>
        </is>
      </c>
      <c r="D15" s="1" t="n"/>
    </row>
    <row r="16">
      <c r="A16" s="1" t="n"/>
      <c r="B16" s="1" t="n"/>
      <c r="C16" s="1" t="n"/>
      <c r="D16" s="1" t="n"/>
    </row>
    <row r="17">
      <c r="A17" s="1" t="n"/>
      <c r="B17" s="4" t="inlineStr">
        <is>
          <t>5</t>
        </is>
      </c>
      <c r="C17" s="5" t="inlineStr">
        <is>
          <t>Print / PDF</t>
        </is>
      </c>
      <c r="D17" s="1" t="n"/>
    </row>
    <row r="18" ht="50" customHeight="1">
      <c r="A18" s="1" t="n"/>
      <c r="B18" s="1" t="n"/>
      <c r="C18" s="6" t="inlineStr">
        <is>
          <t>Open Page 1, then File › Print. Use: Letter (8.5" x 11") · Portrait · Scale: Fit to page · Margins: Narrow · uncheck Show gridlines and Show notes. Click Next, then Save as PDF. Repeat for Page 2. Each page prints at full size on one sheet.</t>
        </is>
      </c>
      <c r="D18" s="1" t="n"/>
    </row>
    <row r="19">
      <c r="A19" s="1" t="n"/>
      <c r="B19" s="1" t="n"/>
      <c r="C19" s="1" t="n"/>
      <c r="D19" s="1" t="n"/>
    </row>
    <row r="20">
      <c r="A20" s="1" t="n"/>
      <c r="B20" s="4" t="inlineStr">
        <is>
          <t>6</t>
        </is>
      </c>
      <c r="C20" s="5" t="inlineStr">
        <is>
          <t>Event Log</t>
        </is>
      </c>
      <c r="D20" s="1" t="n"/>
    </row>
    <row r="21" ht="50" customHeight="1">
      <c r="A21" s="1" t="n"/>
      <c r="B21" s="1" t="n"/>
      <c r="C21" s="6" t="inlineStr">
        <is>
          <t>Save the PDF in the shared Drive folder and add one row with the link. That row is your record. Then clear Inputs for the next client.</t>
        </is>
      </c>
      <c r="D21" s="1" t="n"/>
    </row>
    <row r="22">
      <c r="A22" s="1" t="n"/>
      <c r="B22" s="1" t="n"/>
      <c r="C22" s="1" t="n"/>
      <c r="D22" s="1" t="n"/>
    </row>
    <row r="23">
      <c r="A23" s="1" t="n"/>
      <c r="B23" s="5" t="inlineStr">
        <is>
          <t>Before sending</t>
        </is>
      </c>
      <c r="D23" s="1" t="n"/>
    </row>
    <row r="24" ht="30" customHeight="1">
      <c r="A24" s="1" t="n"/>
      <c r="B24" s="7" t="inlineStr">
        <is>
          <t>Confirm the three proof numbers on Inputs are true, and that the copy matches what we actually deliver.</t>
        </is>
      </c>
      <c r="D24" s="1" t="n"/>
    </row>
    <row r="25">
      <c r="A25" s="1" t="n"/>
      <c r="B25" s="1" t="n"/>
      <c r="C25" s="1" t="n"/>
      <c r="D25" s="1" t="n"/>
    </row>
    <row r="26">
      <c r="A26" s="1" t="n"/>
      <c r="B26" s="8" t="inlineStr">
        <is>
          <t>Copy rule: facts, not explanations. If a line tells the reader why, cut it.</t>
        </is>
      </c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</sheetData>
  <mergeCells count="5">
    <mergeCell ref="B24:C24"/>
    <mergeCell ref="B2:C2"/>
    <mergeCell ref="B3:C3"/>
    <mergeCell ref="B23:C23"/>
    <mergeCell ref="B26:C26"/>
  </mergeCells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.75" customWidth="1" min="2" max="2"/>
    <col width="11.75" customWidth="1" min="3" max="3"/>
    <col width="11.75" customWidth="1" min="4" max="4"/>
    <col width="11.75" customWidth="1" min="5" max="5"/>
    <col width="2.5" customWidth="1" min="6" max="6"/>
    <col width="11.75" customWidth="1" min="7" max="7"/>
    <col width="11.75" customWidth="1" min="8" max="8"/>
    <col width="11.75" customWidth="1" min="9" max="9"/>
    <col width="11.75" customWidth="1" min="10" max="10"/>
    <col width="2" customWidth="1" min="11" max="11"/>
  </cols>
  <sheetData>
    <row r="1" ht="6" customHeight="1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2" customHeight="1">
      <c r="A2" s="9" t="n"/>
      <c r="B2" s="10" t="inlineStr">
        <is>
          <t>368 EVENT MANAGEMENT  ×  HELLHOUND AUDIO</t>
        </is>
      </c>
      <c r="F2" s="9" t="n"/>
      <c r="G2" s="11">
        <f>IF(Inputs!B4="","","Prepared for "&amp;Inputs!B4)&amp;IF(Inputs!B7="","","  ·  "&amp;TEXT(Inputs!B7,"mmm d, yyyy"))</f>
        <v/>
      </c>
      <c r="K2" s="9" t="n"/>
    </row>
    <row r="3" ht="6" customHeight="1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14" customHeight="1">
      <c r="A4" s="9" t="n"/>
      <c r="B4" s="12">
        <f>UPPER(Inputs!B6)</f>
        <v/>
      </c>
      <c r="G4" s="9" t="n"/>
      <c r="H4" s="9" t="n"/>
      <c r="I4" s="9" t="n"/>
      <c r="J4" s="9" t="n"/>
      <c r="K4" s="9" t="n"/>
    </row>
    <row r="5" ht="44" customHeight="1">
      <c r="A5" s="9" t="n"/>
      <c r="B5" s="13" t="inlineStr">
        <is>
          <t>Your call
just works.</t>
        </is>
      </c>
      <c r="G5" s="9" t="n"/>
      <c r="H5" s="9" t="n"/>
      <c r="I5" s="9" t="n"/>
      <c r="J5" s="9" t="n"/>
      <c r="K5" s="9" t="n"/>
    </row>
    <row r="6" ht="40" customHeight="1">
      <c r="A6" s="9" t="n"/>
      <c r="G6" s="9" t="n"/>
      <c r="H6" s="9" t="n"/>
      <c r="I6" s="9" t="n"/>
      <c r="J6" s="9" t="n"/>
      <c r="K6" s="9" t="n"/>
    </row>
    <row r="7" ht="12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 ht="30" customHeight="1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 ht="6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 ht="28" customHeight="1">
      <c r="A10" s="9" t="n"/>
      <c r="B10" s="14">
        <f>Inputs!B14</f>
        <v/>
      </c>
      <c r="C10" s="15" t="n"/>
      <c r="D10" s="15" t="n"/>
      <c r="E10" s="14">
        <f>Inputs!B15</f>
        <v/>
      </c>
      <c r="F10" s="15" t="n"/>
      <c r="G10" s="15" t="n"/>
      <c r="H10" s="14">
        <f>Inputs!B16</f>
        <v/>
      </c>
      <c r="I10" s="15" t="n"/>
      <c r="J10" s="15" t="n"/>
      <c r="K10" s="9" t="n"/>
    </row>
    <row r="11" ht="13" customHeight="1">
      <c r="A11" s="9" t="n"/>
      <c r="B11" s="16">
        <f>Inputs!C14</f>
        <v/>
      </c>
      <c r="E11" s="16">
        <f>Inputs!C15</f>
        <v/>
      </c>
      <c r="H11" s="16">
        <f>Inputs!C16</f>
        <v/>
      </c>
      <c r="K11" s="9" t="n"/>
    </row>
    <row r="12" ht="30" customHeight="1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 ht="20" customHeight="1">
      <c r="A13" s="9" t="n"/>
      <c r="B13" s="17" t="inlineStr">
        <is>
          <t>What’s included</t>
        </is>
      </c>
      <c r="K13" s="9" t="n"/>
    </row>
    <row r="14" ht="8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 ht="22" customHeight="1">
      <c r="A15" s="9" t="n"/>
      <c r="B15" s="18" t="inlineStr">
        <is>
          <t>Sound</t>
        </is>
      </c>
      <c r="C15" s="19" t="n"/>
      <c r="D15" s="19" t="n"/>
      <c r="E15" s="19" t="n"/>
      <c r="F15" s="19" t="n"/>
      <c r="G15" s="19" t="n"/>
      <c r="H15" s="19" t="n"/>
      <c r="I15" s="20">
        <f>SUMIF(Inputs!$A$24:$A$32,"Sound",Inputs!$H$24:$H$32)</f>
        <v/>
      </c>
      <c r="J15" s="19" t="n"/>
      <c r="K15" s="9" t="n"/>
    </row>
    <row r="16" ht="16" customHeight="1">
      <c r="A16" s="9" t="n"/>
      <c r="B16" s="21" t="inlineStr">
        <is>
          <t>Wireless mics, spares, live mixing</t>
        </is>
      </c>
      <c r="K16" s="9" t="n"/>
    </row>
    <row r="17" ht="6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 ht="22" customHeight="1">
      <c r="A18" s="9" t="n"/>
      <c r="B18" s="18" t="inlineStr">
        <is>
          <t>Video &amp; Computers</t>
        </is>
      </c>
      <c r="C18" s="19" t="n"/>
      <c r="D18" s="19" t="n"/>
      <c r="E18" s="19" t="n"/>
      <c r="F18" s="19" t="n"/>
      <c r="G18" s="19" t="n"/>
      <c r="H18" s="19" t="n"/>
      <c r="I18" s="20">
        <f>SUMIF(Inputs!$A$24:$A$32,"Video &amp; Computers",Inputs!$H$24:$H$32)</f>
        <v/>
      </c>
      <c r="J18" s="19" t="n"/>
      <c r="K18" s="9" t="n"/>
    </row>
    <row r="19" ht="16" customHeight="1">
      <c r="A19" s="9" t="n"/>
      <c r="B19" s="21" t="inlineStr">
        <is>
          <t>Primary and backup computers, cameras, wired internet</t>
        </is>
      </c>
      <c r="K19" s="9" t="n"/>
    </row>
    <row r="20" ht="6" customHeight="1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 ht="22" customHeight="1">
      <c r="A21" s="9" t="n"/>
      <c r="B21" s="18" t="inlineStr">
        <is>
          <t>Screens</t>
        </is>
      </c>
      <c r="C21" s="19" t="n"/>
      <c r="D21" s="19" t="n"/>
      <c r="E21" s="19" t="n"/>
      <c r="F21" s="19" t="n"/>
      <c r="G21" s="19" t="n"/>
      <c r="H21" s="19" t="n"/>
      <c r="I21" s="20">
        <f>SUMIF(Inputs!$A$24:$A$32,"Screens",Inputs!$H$24:$H$32)</f>
        <v/>
      </c>
      <c r="J21" s="19" t="n"/>
      <c r="K21" s="9" t="n"/>
    </row>
    <row r="22" ht="16" customHeight="1">
      <c r="A22" s="9" t="n"/>
      <c r="B22" s="21" t="inlineStr">
        <is>
          <t>Displays for the room</t>
        </is>
      </c>
      <c r="K22" s="9" t="n"/>
    </row>
    <row r="23" ht="6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 ht="22" customHeight="1">
      <c r="A24" s="9" t="n"/>
      <c r="B24" s="18" t="inlineStr">
        <is>
          <t>Crew &amp; Rehearsal</t>
        </is>
      </c>
      <c r="C24" s="19" t="n"/>
      <c r="D24" s="19" t="n"/>
      <c r="E24" s="19" t="n"/>
      <c r="F24" s="19" t="n"/>
      <c r="G24" s="19" t="n"/>
      <c r="H24" s="19" t="n"/>
      <c r="I24" s="20">
        <f>SUMIF(Inputs!$A$24:$A$32,"Crew &amp; Rehearsal",Inputs!$H$24:$H$32)</f>
        <v/>
      </c>
      <c r="J24" s="19" t="n"/>
      <c r="K24" s="9" t="n"/>
    </row>
    <row r="25" ht="16" customHeight="1">
      <c r="A25" s="9" t="n"/>
      <c r="B25" s="21" t="inlineStr">
        <is>
          <t>Lead engineer, call operator, rehearsal day</t>
        </is>
      </c>
      <c r="K25" s="9" t="n"/>
    </row>
    <row r="26" ht="6" customHeight="1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 ht="24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 ht="20" customHeight="1">
      <c r="A28" s="9" t="n"/>
      <c r="B28" s="17" t="inlineStr">
        <is>
          <t>Standard on every show</t>
        </is>
      </c>
      <c r="K28" s="9" t="n"/>
    </row>
    <row r="29" ht="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 ht="20" customHeight="1">
      <c r="A30" s="9" t="n"/>
      <c r="B30" s="22" t="inlineStr">
        <is>
          <t>✓  Backup computer, running live</t>
        </is>
      </c>
      <c r="C30" s="23" t="n"/>
      <c r="D30" s="23" t="n"/>
      <c r="E30" s="23" t="n"/>
      <c r="F30" s="9" t="n"/>
      <c r="G30" s="22" t="inlineStr">
        <is>
          <t>✓  Lead engineer on site</t>
        </is>
      </c>
      <c r="H30" s="23" t="n"/>
      <c r="I30" s="23" t="n"/>
      <c r="J30" s="23" t="n"/>
      <c r="K30" s="9" t="n"/>
    </row>
    <row r="31" ht="20" customHeight="1">
      <c r="A31" s="9" t="n"/>
      <c r="B31" s="22" t="inlineStr">
        <is>
          <t>✓  Wired internet with cellular backup</t>
        </is>
      </c>
      <c r="C31" s="23" t="n"/>
      <c r="D31" s="23" t="n"/>
      <c r="E31" s="23" t="n"/>
      <c r="F31" s="9" t="n"/>
      <c r="G31" s="22" t="inlineStr">
        <is>
          <t>✓  Full rehearsal the day before</t>
        </is>
      </c>
      <c r="H31" s="23" t="n"/>
      <c r="I31" s="23" t="n"/>
      <c r="J31" s="23" t="n"/>
      <c r="K31" s="9" t="n"/>
    </row>
    <row r="32" ht="20" customHeight="1">
      <c r="A32" s="9" t="n"/>
      <c r="B32" s="22" t="inlineStr">
        <is>
          <t>✓  A mic for every speaker</t>
        </is>
      </c>
      <c r="C32" s="23" t="n"/>
      <c r="D32" s="23" t="n"/>
      <c r="E32" s="23" t="n"/>
      <c r="F32" s="9" t="n"/>
      <c r="G32" s="22" t="inlineStr">
        <is>
          <t>✓  Delivery, setup, and teardown</t>
        </is>
      </c>
      <c r="H32" s="23" t="n"/>
      <c r="I32" s="23" t="n"/>
      <c r="J32" s="23" t="n"/>
      <c r="K32" s="9" t="n"/>
    </row>
    <row r="33" ht="30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 ht="13" customHeight="1">
      <c r="A34" s="9" t="n"/>
      <c r="B34" s="24" t="inlineStr">
        <is>
          <t>TOTAL</t>
        </is>
      </c>
      <c r="C34" s="25" t="n"/>
      <c r="D34" s="25" t="n"/>
      <c r="E34" s="25" t="n"/>
      <c r="F34" s="26" t="n"/>
      <c r="G34" s="26" t="n"/>
      <c r="H34" s="26" t="n"/>
      <c r="I34" s="26" t="n"/>
      <c r="J34" s="26" t="n"/>
      <c r="K34" s="9" t="n"/>
    </row>
    <row r="35" ht="40" customHeight="1">
      <c r="A35" s="9" t="n"/>
      <c r="B35" s="27">
        <f>'Page 2 · Details'!J27</f>
        <v/>
      </c>
      <c r="F35" s="9" t="n"/>
      <c r="G35" s="9" t="n"/>
      <c r="H35" s="9" t="n"/>
      <c r="I35" s="9" t="n"/>
      <c r="J35" s="9" t="n"/>
      <c r="K35" s="9" t="n"/>
    </row>
    <row r="36" ht="24" customHeight="1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 ht="14" customHeight="1">
      <c r="A37" s="9" t="n"/>
      <c r="B37" s="28">
        <f>Inputs!B9&amp;"  ·  "&amp;Inputs!B10&amp;"  ·  "&amp;Inputs!B11</f>
        <v/>
      </c>
      <c r="K37" s="9" t="n"/>
    </row>
    <row r="38" ht="12" customHeight="1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 ht="40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 ht="6" customHeight="1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</sheetData>
  <mergeCells count="33">
    <mergeCell ref="B4:F4"/>
    <mergeCell ref="B11:D11"/>
    <mergeCell ref="E10:G10"/>
    <mergeCell ref="I21:J22"/>
    <mergeCell ref="I24:J25"/>
    <mergeCell ref="B30:E30"/>
    <mergeCell ref="B24:H24"/>
    <mergeCell ref="B15:H15"/>
    <mergeCell ref="B13:J13"/>
    <mergeCell ref="H11:J11"/>
    <mergeCell ref="G32:J32"/>
    <mergeCell ref="B32:E32"/>
    <mergeCell ref="B10:D10"/>
    <mergeCell ref="G31:J31"/>
    <mergeCell ref="E11:G11"/>
    <mergeCell ref="B35:E35"/>
    <mergeCell ref="B28:J28"/>
    <mergeCell ref="B37:J37"/>
    <mergeCell ref="B5:F6"/>
    <mergeCell ref="B16:H16"/>
    <mergeCell ref="G2:J2"/>
    <mergeCell ref="B25:H25"/>
    <mergeCell ref="B22:H22"/>
    <mergeCell ref="B31:E31"/>
    <mergeCell ref="B18:H18"/>
    <mergeCell ref="B21:H21"/>
    <mergeCell ref="I15:J16"/>
    <mergeCell ref="B2:E2"/>
    <mergeCell ref="H10:J10"/>
    <mergeCell ref="G30:J30"/>
    <mergeCell ref="B34:E34"/>
    <mergeCell ref="B19:H19"/>
    <mergeCell ref="I18:J19"/>
  </mergeCells>
  <printOptions horizontalCentered="1"/>
  <pageMargins left="0.25" right="0.25" top="0.25" bottom="0.25" header="0" footer="0"/>
  <pageSetup orientation="portrait" paperSize="1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.75" customWidth="1" min="2" max="2"/>
    <col width="11.75" customWidth="1" min="3" max="3"/>
    <col width="11.75" customWidth="1" min="4" max="4"/>
    <col width="11.75" customWidth="1" min="5" max="5"/>
    <col width="2.5" customWidth="1" min="6" max="6"/>
    <col width="11.75" customWidth="1" min="7" max="7"/>
    <col width="11.75" customWidth="1" min="8" max="8"/>
    <col width="11.75" customWidth="1" min="9" max="9"/>
    <col width="11.75" customWidth="1" min="10" max="10"/>
    <col width="2" customWidth="1" min="11" max="11"/>
  </cols>
  <sheetData>
    <row r="1" ht="6" customHeight="1">
      <c r="A1" s="9" t="n"/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 ht="12" customHeight="1">
      <c r="A2" s="9" t="n"/>
      <c r="B2" s="10" t="inlineStr">
        <is>
          <t>368 EVENT MANAGEMENT  ×  HELLHOUND AUDIO</t>
        </is>
      </c>
      <c r="F2" s="9" t="n"/>
      <c r="G2" s="11">
        <f>IF(Inputs!B4="","","Prepared for "&amp;Inputs!B4)&amp;IF(Inputs!B7="","","  ·  "&amp;TEXT(Inputs!B7,"mmm d, yyyy"))</f>
        <v/>
      </c>
      <c r="K2" s="9" t="n"/>
    </row>
    <row r="3" ht="12" customHeight="1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</row>
    <row r="4" ht="14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30" customHeight="1">
      <c r="A5" s="9" t="n"/>
      <c r="B5" s="29" t="inlineStr">
        <is>
          <t>Line items</t>
        </is>
      </c>
      <c r="K5" s="9" t="n"/>
    </row>
    <row r="6" ht="16" customHeight="1">
      <c r="A6" s="9" t="n"/>
      <c r="B6" s="30">
        <f>Inputs!B5</f>
        <v/>
      </c>
      <c r="K6" s="9" t="n"/>
    </row>
    <row r="7" ht="10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 ht="18" customHeight="1">
      <c r="A8" s="9" t="n"/>
      <c r="B8" s="31" t="inlineStr">
        <is>
          <t>ITEM</t>
        </is>
      </c>
      <c r="C8" s="32" t="n"/>
      <c r="D8" s="31" t="inlineStr">
        <is>
          <t>DESCRIPTION</t>
        </is>
      </c>
      <c r="E8" s="32" t="n"/>
      <c r="F8" s="32" t="n"/>
      <c r="G8" s="33" t="inlineStr">
        <is>
          <t>QTY</t>
        </is>
      </c>
      <c r="H8" s="33" t="inlineStr">
        <is>
          <t>DAYS</t>
        </is>
      </c>
      <c r="I8" s="34" t="inlineStr">
        <is>
          <t>RATE</t>
        </is>
      </c>
      <c r="J8" s="34" t="inlineStr">
        <is>
          <t>SUBTOTAL</t>
        </is>
      </c>
      <c r="K8" s="9" t="n"/>
    </row>
    <row r="9" ht="22" customHeight="1">
      <c r="A9" s="9" t="n"/>
      <c r="B9" s="35" t="inlineStr">
        <is>
          <t>SOUND</t>
        </is>
      </c>
      <c r="K9" s="9" t="n"/>
    </row>
    <row r="10" ht="28" customHeight="1">
      <c r="A10" s="9" t="n"/>
      <c r="B10" s="36">
        <f>Inputs!B24</f>
        <v/>
      </c>
      <c r="C10" s="23" t="n"/>
      <c r="D10" s="37">
        <f>Inputs!C24</f>
        <v/>
      </c>
      <c r="E10" s="23" t="n"/>
      <c r="F10" s="23" t="n"/>
      <c r="G10" s="38">
        <f>Inputs!F24</f>
        <v/>
      </c>
      <c r="H10" s="38">
        <f>Inputs!G24</f>
        <v/>
      </c>
      <c r="I10" s="39">
        <f>Inputs!E24</f>
        <v/>
      </c>
      <c r="J10" s="40">
        <f>IF(Inputs!H24=0,"Not included",Inputs!H24)</f>
        <v/>
      </c>
      <c r="K10" s="9" t="n"/>
    </row>
    <row r="11" ht="28" customHeight="1">
      <c r="A11" s="9" t="n"/>
      <c r="B11" s="41">
        <f>Inputs!B25</f>
        <v/>
      </c>
      <c r="C11" s="42" t="n"/>
      <c r="D11" s="43">
        <f>Inputs!C25</f>
        <v/>
      </c>
      <c r="E11" s="42" t="n"/>
      <c r="F11" s="42" t="n"/>
      <c r="G11" s="44">
        <f>Inputs!F25</f>
        <v/>
      </c>
      <c r="H11" s="44">
        <f>Inputs!G25</f>
        <v/>
      </c>
      <c r="I11" s="45">
        <f>Inputs!E25</f>
        <v/>
      </c>
      <c r="J11" s="46">
        <f>IF(Inputs!H25=0,"Not included",Inputs!H25)</f>
        <v/>
      </c>
      <c r="K11" s="9" t="n"/>
    </row>
    <row r="12" ht="22" customHeight="1">
      <c r="A12" s="9" t="n"/>
      <c r="B12" s="35" t="inlineStr">
        <is>
          <t>VIDEO &amp; COMPUTERS</t>
        </is>
      </c>
      <c r="K12" s="9" t="n"/>
    </row>
    <row r="13" ht="28" customHeight="1">
      <c r="A13" s="9" t="n"/>
      <c r="B13" s="36">
        <f>Inputs!B26</f>
        <v/>
      </c>
      <c r="C13" s="23" t="n"/>
      <c r="D13" s="37">
        <f>Inputs!C26</f>
        <v/>
      </c>
      <c r="E13" s="23" t="n"/>
      <c r="F13" s="23" t="n"/>
      <c r="G13" s="38">
        <f>Inputs!F26</f>
        <v/>
      </c>
      <c r="H13" s="38">
        <f>Inputs!G26</f>
        <v/>
      </c>
      <c r="I13" s="39">
        <f>Inputs!E26</f>
        <v/>
      </c>
      <c r="J13" s="40">
        <f>IF(Inputs!H26=0,"Not included",Inputs!H26)</f>
        <v/>
      </c>
      <c r="K13" s="9" t="n"/>
    </row>
    <row r="14" ht="28" customHeight="1">
      <c r="A14" s="9" t="n"/>
      <c r="B14" s="36">
        <f>Inputs!B27</f>
        <v/>
      </c>
      <c r="C14" s="23" t="n"/>
      <c r="D14" s="37">
        <f>Inputs!C27</f>
        <v/>
      </c>
      <c r="E14" s="23" t="n"/>
      <c r="F14" s="23" t="n"/>
      <c r="G14" s="38">
        <f>Inputs!F27</f>
        <v/>
      </c>
      <c r="H14" s="38">
        <f>Inputs!G27</f>
        <v/>
      </c>
      <c r="I14" s="39">
        <f>Inputs!E27</f>
        <v/>
      </c>
      <c r="J14" s="40">
        <f>IF(Inputs!H27=0,"Not included",Inputs!H27)</f>
        <v/>
      </c>
      <c r="K14" s="9" t="n"/>
    </row>
    <row r="15" ht="28" customHeight="1">
      <c r="A15" s="9" t="n"/>
      <c r="B15" s="41">
        <f>Inputs!B28</f>
        <v/>
      </c>
      <c r="C15" s="42" t="n"/>
      <c r="D15" s="43">
        <f>Inputs!C28</f>
        <v/>
      </c>
      <c r="E15" s="42" t="n"/>
      <c r="F15" s="42" t="n"/>
      <c r="G15" s="44">
        <f>Inputs!F28</f>
        <v/>
      </c>
      <c r="H15" s="44">
        <f>Inputs!G28</f>
        <v/>
      </c>
      <c r="I15" s="45">
        <f>Inputs!E28</f>
        <v/>
      </c>
      <c r="J15" s="46">
        <f>IF(Inputs!H28=0,"Not included",Inputs!H28)</f>
        <v/>
      </c>
      <c r="K15" s="9" t="n"/>
    </row>
    <row r="16" ht="22" customHeight="1">
      <c r="A16" s="9" t="n"/>
      <c r="B16" s="35" t="inlineStr">
        <is>
          <t>SCREENS</t>
        </is>
      </c>
      <c r="K16" s="9" t="n"/>
    </row>
    <row r="17" ht="28" customHeight="1">
      <c r="A17" s="9" t="n"/>
      <c r="B17" s="41">
        <f>Inputs!B29</f>
        <v/>
      </c>
      <c r="C17" s="42" t="n"/>
      <c r="D17" s="43">
        <f>Inputs!C29</f>
        <v/>
      </c>
      <c r="E17" s="42" t="n"/>
      <c r="F17" s="42" t="n"/>
      <c r="G17" s="44">
        <f>Inputs!F29</f>
        <v/>
      </c>
      <c r="H17" s="44">
        <f>Inputs!G29</f>
        <v/>
      </c>
      <c r="I17" s="45">
        <f>Inputs!E29</f>
        <v/>
      </c>
      <c r="J17" s="46">
        <f>IF(Inputs!H29=0,"Not included",Inputs!H29)</f>
        <v/>
      </c>
      <c r="K17" s="9" t="n"/>
    </row>
    <row r="18" ht="22" customHeight="1">
      <c r="A18" s="9" t="n"/>
      <c r="B18" s="35" t="inlineStr">
        <is>
          <t>CREW &amp; REHEARSAL</t>
        </is>
      </c>
      <c r="K18" s="9" t="n"/>
    </row>
    <row r="19" ht="28" customHeight="1">
      <c r="A19" s="9" t="n"/>
      <c r="B19" s="36">
        <f>Inputs!B30</f>
        <v/>
      </c>
      <c r="C19" s="23" t="n"/>
      <c r="D19" s="37">
        <f>Inputs!C30</f>
        <v/>
      </c>
      <c r="E19" s="23" t="n"/>
      <c r="F19" s="23" t="n"/>
      <c r="G19" s="38">
        <f>Inputs!F30</f>
        <v/>
      </c>
      <c r="H19" s="38">
        <f>Inputs!G30</f>
        <v/>
      </c>
      <c r="I19" s="39">
        <f>Inputs!E30</f>
        <v/>
      </c>
      <c r="J19" s="40">
        <f>IF(Inputs!H30=0,"Not included",Inputs!H30)</f>
        <v/>
      </c>
      <c r="K19" s="9" t="n"/>
    </row>
    <row r="20" ht="28" customHeight="1">
      <c r="A20" s="9" t="n"/>
      <c r="B20" s="36">
        <f>Inputs!B31</f>
        <v/>
      </c>
      <c r="C20" s="23" t="n"/>
      <c r="D20" s="37">
        <f>Inputs!C31</f>
        <v/>
      </c>
      <c r="E20" s="23" t="n"/>
      <c r="F20" s="23" t="n"/>
      <c r="G20" s="38">
        <f>Inputs!F31</f>
        <v/>
      </c>
      <c r="H20" s="38">
        <f>Inputs!G31</f>
        <v/>
      </c>
      <c r="I20" s="39">
        <f>Inputs!E31</f>
        <v/>
      </c>
      <c r="J20" s="40">
        <f>IF(Inputs!H31=0,"Not included",Inputs!H31)</f>
        <v/>
      </c>
      <c r="K20" s="9" t="n"/>
    </row>
    <row r="21" ht="28" customHeight="1">
      <c r="A21" s="9" t="n"/>
      <c r="B21" s="41">
        <f>Inputs!B32</f>
        <v/>
      </c>
      <c r="C21" s="42" t="n"/>
      <c r="D21" s="43">
        <f>Inputs!C32</f>
        <v/>
      </c>
      <c r="E21" s="42" t="n"/>
      <c r="F21" s="42" t="n"/>
      <c r="G21" s="44">
        <f>Inputs!F32</f>
        <v/>
      </c>
      <c r="H21" s="44">
        <f>Inputs!G32</f>
        <v/>
      </c>
      <c r="I21" s="45">
        <f>Inputs!E32</f>
        <v/>
      </c>
      <c r="J21" s="46">
        <f>IF(Inputs!H32=0,"Not included",Inputs!H32)</f>
        <v/>
      </c>
      <c r="K21" s="9" t="n"/>
    </row>
    <row r="22" ht="8" customHeight="1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 ht="4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 ht="4" customHeight="1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47" t="inlineStr">
        <is>
          <t>Subtotal</t>
        </is>
      </c>
      <c r="J25" s="48">
        <f>SUM(Inputs!$H$24:$H$32)</f>
        <v/>
      </c>
      <c r="K25" s="9" t="n"/>
    </row>
    <row r="26" ht="18" customHeight="1">
      <c r="A26" s="9" t="n"/>
      <c r="B26" s="9" t="n"/>
      <c r="C26" s="9" t="n"/>
      <c r="D26" s="9" t="n"/>
      <c r="E26" s="9" t="n"/>
      <c r="F26" s="9" t="n"/>
      <c r="G26" s="9" t="n"/>
      <c r="H26" s="47">
        <f>"Tax ("&amp;TEXT(Inputs!B18,"0.0%")&amp;")"</f>
        <v/>
      </c>
      <c r="J26" s="48">
        <f>J25*Inputs!B18</f>
        <v/>
      </c>
      <c r="K26" s="9" t="n"/>
    </row>
    <row r="27" ht="24" customHeight="1">
      <c r="A27" s="9" t="n"/>
      <c r="B27" s="9" t="n"/>
      <c r="C27" s="9" t="n"/>
      <c r="D27" s="9" t="n"/>
      <c r="E27" s="9" t="n"/>
      <c r="F27" s="9" t="n"/>
      <c r="G27" s="9" t="n"/>
      <c r="H27" s="49" t="inlineStr">
        <is>
          <t>Total</t>
        </is>
      </c>
      <c r="I27" s="15" t="n"/>
      <c r="J27" s="50">
        <f>J25+J26</f>
        <v/>
      </c>
      <c r="K27" s="9" t="n"/>
    </row>
    <row r="28" ht="14" customHeight="1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 ht="4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 ht="20" customHeight="1">
      <c r="A30" s="9" t="n"/>
      <c r="B30" s="51" t="inlineStr">
        <is>
          <t>Notes</t>
        </is>
      </c>
      <c r="K30" s="9" t="n"/>
    </row>
    <row r="31" ht="32" customHeight="1">
      <c r="A31" s="9" t="n"/>
      <c r="B31" s="52">
        <f>Inputs!B19</f>
        <v/>
      </c>
      <c r="K31" s="9" t="n"/>
    </row>
    <row r="32" ht="15" customHeight="1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  <row r="33" ht="15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 ht="15" customHeight="1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 ht="14" customHeight="1">
      <c r="A35" s="9" t="n"/>
      <c r="B35" s="53" t="inlineStr">
        <is>
          <t>368 Event Management  ×  Hellhound Audio  ·  hellhoundaudio.com</t>
        </is>
      </c>
      <c r="K35" s="9" t="n"/>
    </row>
    <row r="36" ht="6" customHeight="1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</sheetData>
  <mergeCells count="34">
    <mergeCell ref="D11:F11"/>
    <mergeCell ref="D13:F13"/>
    <mergeCell ref="D17:F17"/>
    <mergeCell ref="H25:I25"/>
    <mergeCell ref="B21:C21"/>
    <mergeCell ref="B11:C11"/>
    <mergeCell ref="B9:J9"/>
    <mergeCell ref="B14:C14"/>
    <mergeCell ref="G2:J2"/>
    <mergeCell ref="B17:C17"/>
    <mergeCell ref="D8:F8"/>
    <mergeCell ref="B8:C8"/>
    <mergeCell ref="D15:F15"/>
    <mergeCell ref="B6:J6"/>
    <mergeCell ref="B30:J30"/>
    <mergeCell ref="B13:C13"/>
    <mergeCell ref="D14:F14"/>
    <mergeCell ref="B5:J5"/>
    <mergeCell ref="B19:C19"/>
    <mergeCell ref="B10:C10"/>
    <mergeCell ref="B35:J35"/>
    <mergeCell ref="B2:E2"/>
    <mergeCell ref="D20:F20"/>
    <mergeCell ref="H27:I27"/>
    <mergeCell ref="B16:J16"/>
    <mergeCell ref="D10:F10"/>
    <mergeCell ref="D19:F19"/>
    <mergeCell ref="B15:C15"/>
    <mergeCell ref="B20:C20"/>
    <mergeCell ref="B31:J31"/>
    <mergeCell ref="B18:J18"/>
    <mergeCell ref="D21:F21"/>
    <mergeCell ref="B12:J12"/>
    <mergeCell ref="H26:I26"/>
  </mergeCells>
  <printOptions horizontalCentered="1"/>
  <pageMargins left="0.25" right="0.25" top="0.25" bottom="0.25" header="0" footer="0"/>
  <pageSetup orientation="portrait" paperSize="1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52" customWidth="1" min="3" max="3"/>
    <col width="18" customWidth="1" min="4" max="4"/>
    <col width="12" customWidth="1" min="5" max="5"/>
    <col width="8" customWidth="1" min="6" max="6"/>
    <col width="8" customWidth="1" min="7" max="7"/>
    <col width="14" customWidth="1" min="8" max="8"/>
  </cols>
  <sheetData>
    <row r="1" ht="30" customHeight="1">
      <c r="A1" s="54" t="inlineStr">
        <is>
          <t>Inputs</t>
        </is>
      </c>
    </row>
    <row r="2">
      <c r="A2" s="55" t="inlineStr">
        <is>
          <t>Fill in the blue cells. Everything else updates on its own.</t>
        </is>
      </c>
    </row>
    <row r="4">
      <c r="A4" s="55" t="inlineStr">
        <is>
          <t>Client</t>
        </is>
      </c>
      <c r="B4" s="56" t="inlineStr">
        <is>
          <t>Acme Corp</t>
        </is>
      </c>
    </row>
    <row r="5">
      <c r="A5" s="55" t="inlineStr">
        <is>
          <t>Event name</t>
        </is>
      </c>
      <c r="B5" s="56" t="inlineStr">
        <is>
          <t>Q4 Leadership Town Hall</t>
        </is>
      </c>
    </row>
    <row r="6">
      <c r="A6" s="55" t="inlineStr">
        <is>
          <t>Event type</t>
        </is>
      </c>
      <c r="B6" s="56" t="inlineStr">
        <is>
          <t>Executive Zoom Call</t>
        </is>
      </c>
    </row>
    <row r="7">
      <c r="A7" s="55" t="inlineStr">
        <is>
          <t>Date</t>
        </is>
      </c>
      <c r="B7" s="57" t="n"/>
    </row>
    <row r="8">
      <c r="A8" s="55" t="inlineStr">
        <is>
          <t>Location</t>
        </is>
      </c>
      <c r="B8" s="56" t="inlineStr">
        <is>
          <t>Acme HQ, Boardroom A</t>
        </is>
      </c>
    </row>
    <row r="9">
      <c r="A9" s="55" t="inlineStr">
        <is>
          <t>Prepared by</t>
        </is>
      </c>
      <c r="B9" s="56" t="inlineStr">
        <is>
          <t>Your name</t>
        </is>
      </c>
    </row>
    <row r="10">
      <c r="A10" s="55" t="inlineStr">
        <is>
          <t>Contact email</t>
        </is>
      </c>
      <c r="B10" s="56" t="inlineStr">
        <is>
          <t>you@company.com</t>
        </is>
      </c>
    </row>
    <row r="11">
      <c r="A11" s="55" t="inlineStr">
        <is>
          <t>Contact phone</t>
        </is>
      </c>
      <c r="B11" s="56" t="inlineStr">
        <is>
          <t>(555) 555-5555</t>
        </is>
      </c>
    </row>
    <row r="13">
      <c r="A13" s="58" t="inlineStr">
        <is>
          <t>Proof points (Page 1)</t>
        </is>
      </c>
      <c r="C13" s="59" t="inlineStr">
        <is>
          <t>Number / short label. Only use numbers we can stand behind.</t>
        </is>
      </c>
    </row>
    <row r="14">
      <c r="A14" s="55" t="inlineStr">
        <is>
          <t>Proof 1</t>
        </is>
      </c>
      <c r="B14" s="56" t="inlineStr">
        <is>
          <t>1,000+</t>
        </is>
      </c>
      <c r="C14" s="56" t="inlineStr">
        <is>
          <t>events produced</t>
        </is>
      </c>
    </row>
    <row r="15">
      <c r="A15" s="55" t="inlineStr">
        <is>
          <t>Proof 2</t>
        </is>
      </c>
      <c r="B15" s="56" t="inlineStr">
        <is>
          <t>24 hrs</t>
        </is>
      </c>
      <c r="C15" s="56" t="inlineStr">
        <is>
          <t>of testing before every show</t>
        </is>
      </c>
    </row>
    <row r="16">
      <c r="A16" s="55" t="inlineStr">
        <is>
          <t>Proof 3</t>
        </is>
      </c>
      <c r="B16" s="56" t="inlineStr">
        <is>
          <t>2×</t>
        </is>
      </c>
      <c r="C16" s="56" t="inlineStr">
        <is>
          <t>backup on every critical part</t>
        </is>
      </c>
    </row>
    <row r="18">
      <c r="A18" s="55" t="inlineStr">
        <is>
          <t>Tax rate</t>
        </is>
      </c>
      <c r="B18" s="60" t="n">
        <v>0</v>
      </c>
    </row>
    <row r="19" ht="44" customHeight="1">
      <c r="A19" s="61" t="inlineStr">
        <is>
          <t>Notes for Page 2</t>
        </is>
      </c>
      <c r="B19" s="62" t="inlineStr">
        <is>
          <t>Load-in begins 7:00 AM. Final rehearsal with speakers at 2:00 PM the day before.</t>
        </is>
      </c>
    </row>
    <row r="22">
      <c r="A22" s="58" t="inlineStr">
        <is>
          <t>Line items</t>
        </is>
      </c>
      <c r="C22" s="63" t="inlineStr">
        <is>
          <t>Set Qty to 0 to leave an item out. Prices come from the Rates tab.</t>
        </is>
      </c>
    </row>
    <row r="23">
      <c r="A23" s="64" t="inlineStr">
        <is>
          <t>Category</t>
        </is>
      </c>
      <c r="B23" s="64" t="inlineStr">
        <is>
          <t>Item</t>
        </is>
      </c>
      <c r="C23" s="64" t="inlineStr">
        <is>
          <t>What's included</t>
        </is>
      </c>
      <c r="D23" s="64" t="inlineStr">
        <is>
          <t>Unit</t>
        </is>
      </c>
      <c r="E23" s="64" t="inlineStr">
        <is>
          <t>Rate</t>
        </is>
      </c>
      <c r="F23" s="64" t="inlineStr">
        <is>
          <t>Qty</t>
        </is>
      </c>
      <c r="G23" s="64" t="inlineStr">
        <is>
          <t>Days</t>
        </is>
      </c>
      <c r="H23" s="64" t="inlineStr">
        <is>
          <t>Subtotal</t>
        </is>
      </c>
    </row>
    <row r="24" ht="30" customHeight="1">
      <c r="A24" s="65">
        <f>Rates!A5</f>
        <v/>
      </c>
      <c r="B24" s="66">
        <f>Rates!B5</f>
        <v/>
      </c>
      <c r="C24" s="67">
        <f>Rates!C5</f>
        <v/>
      </c>
      <c r="D24" s="63">
        <f>Rates!D5</f>
        <v/>
      </c>
      <c r="E24" s="68">
        <f>Rates!E5</f>
        <v/>
      </c>
      <c r="F24" s="69" t="n">
        <v>1</v>
      </c>
      <c r="G24" s="69" t="n">
        <v>1</v>
      </c>
      <c r="H24" s="70">
        <f>E24*F24*G24</f>
        <v/>
      </c>
    </row>
    <row r="25" ht="30" customHeight="1">
      <c r="A25" s="65">
        <f>Rates!A6</f>
        <v/>
      </c>
      <c r="B25" s="66">
        <f>Rates!B6</f>
        <v/>
      </c>
      <c r="C25" s="67">
        <f>Rates!C6</f>
        <v/>
      </c>
      <c r="D25" s="63">
        <f>Rates!D6</f>
        <v/>
      </c>
      <c r="E25" s="68">
        <f>Rates!E6</f>
        <v/>
      </c>
      <c r="F25" s="69" t="n">
        <v>1</v>
      </c>
      <c r="G25" s="69" t="n">
        <v>1</v>
      </c>
      <c r="H25" s="70">
        <f>E25*F25*G25</f>
        <v/>
      </c>
    </row>
    <row r="26" ht="30" customHeight="1">
      <c r="A26" s="65">
        <f>Rates!A7</f>
        <v/>
      </c>
      <c r="B26" s="66">
        <f>Rates!B7</f>
        <v/>
      </c>
      <c r="C26" s="67">
        <f>Rates!C7</f>
        <v/>
      </c>
      <c r="D26" s="63">
        <f>Rates!D7</f>
        <v/>
      </c>
      <c r="E26" s="68">
        <f>Rates!E7</f>
        <v/>
      </c>
      <c r="F26" s="69" t="n">
        <v>1</v>
      </c>
      <c r="G26" s="69" t="n">
        <v>1</v>
      </c>
      <c r="H26" s="70">
        <f>E26*F26*G26</f>
        <v/>
      </c>
    </row>
    <row r="27" ht="30" customHeight="1">
      <c r="A27" s="65">
        <f>Rates!A8</f>
        <v/>
      </c>
      <c r="B27" s="66">
        <f>Rates!B8</f>
        <v/>
      </c>
      <c r="C27" s="67">
        <f>Rates!C8</f>
        <v/>
      </c>
      <c r="D27" s="63">
        <f>Rates!D8</f>
        <v/>
      </c>
      <c r="E27" s="68">
        <f>Rates!E8</f>
        <v/>
      </c>
      <c r="F27" s="69" t="n">
        <v>1</v>
      </c>
      <c r="G27" s="69" t="n">
        <v>1</v>
      </c>
      <c r="H27" s="70">
        <f>E27*F27*G27</f>
        <v/>
      </c>
    </row>
    <row r="28" ht="30" customHeight="1">
      <c r="A28" s="65">
        <f>Rates!A9</f>
        <v/>
      </c>
      <c r="B28" s="66">
        <f>Rates!B9</f>
        <v/>
      </c>
      <c r="C28" s="67">
        <f>Rates!C9</f>
        <v/>
      </c>
      <c r="D28" s="63">
        <f>Rates!D9</f>
        <v/>
      </c>
      <c r="E28" s="68">
        <f>Rates!E9</f>
        <v/>
      </c>
      <c r="F28" s="69" t="n">
        <v>1</v>
      </c>
      <c r="G28" s="69" t="n">
        <v>1</v>
      </c>
      <c r="H28" s="70">
        <f>E28*F28*G28</f>
        <v/>
      </c>
    </row>
    <row r="29" ht="30" customHeight="1">
      <c r="A29" s="65">
        <f>Rates!A10</f>
        <v/>
      </c>
      <c r="B29" s="66">
        <f>Rates!B10</f>
        <v/>
      </c>
      <c r="C29" s="67">
        <f>Rates!C10</f>
        <v/>
      </c>
      <c r="D29" s="63">
        <f>Rates!D10</f>
        <v/>
      </c>
      <c r="E29" s="68">
        <f>Rates!E10</f>
        <v/>
      </c>
      <c r="F29" s="69" t="n">
        <v>2</v>
      </c>
      <c r="G29" s="69" t="n">
        <v>1</v>
      </c>
      <c r="H29" s="70">
        <f>E29*F29*G29</f>
        <v/>
      </c>
    </row>
    <row r="30" ht="30" customHeight="1">
      <c r="A30" s="65">
        <f>Rates!A11</f>
        <v/>
      </c>
      <c r="B30" s="66">
        <f>Rates!B11</f>
        <v/>
      </c>
      <c r="C30" s="67">
        <f>Rates!C11</f>
        <v/>
      </c>
      <c r="D30" s="63">
        <f>Rates!D11</f>
        <v/>
      </c>
      <c r="E30" s="68">
        <f>Rates!E11</f>
        <v/>
      </c>
      <c r="F30" s="69" t="n">
        <v>1</v>
      </c>
      <c r="G30" s="69" t="n">
        <v>1</v>
      </c>
      <c r="H30" s="70">
        <f>E30*F30*G30</f>
        <v/>
      </c>
    </row>
    <row r="31" ht="30" customHeight="1">
      <c r="A31" s="65">
        <f>Rates!A12</f>
        <v/>
      </c>
      <c r="B31" s="66">
        <f>Rates!B12</f>
        <v/>
      </c>
      <c r="C31" s="67">
        <f>Rates!C12</f>
        <v/>
      </c>
      <c r="D31" s="63">
        <f>Rates!D12</f>
        <v/>
      </c>
      <c r="E31" s="68">
        <f>Rates!E12</f>
        <v/>
      </c>
      <c r="F31" s="69" t="n">
        <v>1</v>
      </c>
      <c r="G31" s="69" t="n">
        <v>1</v>
      </c>
      <c r="H31" s="70">
        <f>E31*F31*G31</f>
        <v/>
      </c>
    </row>
    <row r="32" ht="30" customHeight="1">
      <c r="A32" s="65">
        <f>Rates!A13</f>
        <v/>
      </c>
      <c r="B32" s="66">
        <f>Rates!B13</f>
        <v/>
      </c>
      <c r="C32" s="67">
        <f>Rates!C13</f>
        <v/>
      </c>
      <c r="D32" s="63">
        <f>Rates!D13</f>
        <v/>
      </c>
      <c r="E32" s="68">
        <f>Rates!E13</f>
        <v/>
      </c>
      <c r="F32" s="69" t="n">
        <v>1</v>
      </c>
      <c r="G32" s="69" t="n">
        <v>1</v>
      </c>
      <c r="H32" s="70">
        <f>E32*F32*G32</f>
        <v/>
      </c>
    </row>
    <row r="33">
      <c r="G33" s="71" t="inlineStr">
        <is>
          <t>Total</t>
        </is>
      </c>
      <c r="H33" s="72">
        <f>SUM(H24:H32)</f>
        <v/>
      </c>
    </row>
  </sheetData>
  <mergeCells count="1">
    <mergeCell ref="B19:D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64" customWidth="1" min="3" max="3"/>
    <col width="20" customWidth="1" min="4" max="4"/>
    <col width="12" customWidth="1" min="5" max="5"/>
  </cols>
  <sheetData>
    <row r="1" ht="30" customHeight="1">
      <c r="A1" s="54" t="inlineStr">
        <is>
          <t>Rates</t>
        </is>
      </c>
    </row>
    <row r="2">
      <c r="A2" s="73" t="inlineStr">
        <is>
          <t>PLACEHOLDER PRICES. Replace with real rates before sending anything. Changes here flow into every quote.</t>
        </is>
      </c>
    </row>
    <row r="3">
      <c r="A3" s="63" t="inlineStr">
        <is>
          <t>Keep categories spelled exactly as: Sound, Video &amp; Computers, Screens, Crew &amp; Rehearsal. Edit rows in place; don't insert rows above the list.</t>
        </is>
      </c>
    </row>
    <row r="4">
      <c r="A4" s="64" t="inlineStr">
        <is>
          <t>Category</t>
        </is>
      </c>
      <c r="B4" s="64" t="inlineStr">
        <is>
          <t>Item</t>
        </is>
      </c>
      <c r="C4" s="64" t="inlineStr">
        <is>
          <t>What's included (plain English)</t>
        </is>
      </c>
      <c r="D4" s="64" t="inlineStr">
        <is>
          <t>Unit</t>
        </is>
      </c>
      <c r="E4" s="64" t="inlineStr">
        <is>
          <t>Rate</t>
        </is>
      </c>
    </row>
    <row r="5" ht="30" customHeight="1">
      <c r="A5" s="65" t="inlineStr">
        <is>
          <t>Sound</t>
        </is>
      </c>
      <c r="B5" s="66" t="inlineStr">
        <is>
          <t>Executive Mic Package</t>
        </is>
      </c>
      <c r="C5" s="74" t="inlineStr">
        <is>
          <t>Wireless mic per speaker, plus spares</t>
        </is>
      </c>
      <c r="D5" s="65" t="inlineStr">
        <is>
          <t>per day</t>
        </is>
      </c>
      <c r="E5" s="75" t="n">
        <v>1200</v>
      </c>
    </row>
    <row r="6" ht="30" customHeight="1">
      <c r="A6" s="65" t="inlineStr">
        <is>
          <t>Sound</t>
        </is>
      </c>
      <c r="B6" s="66" t="inlineStr">
        <is>
          <t>Live Audio Mixing</t>
        </is>
      </c>
      <c r="C6" s="74" t="inlineStr">
        <is>
          <t>Live mixing for room and remote audio</t>
        </is>
      </c>
      <c r="D6" s="65" t="inlineStr">
        <is>
          <t>per day</t>
        </is>
      </c>
      <c r="E6" s="75" t="n">
        <v>800</v>
      </c>
    </row>
    <row r="7" ht="30" customHeight="1">
      <c r="A7" s="65" t="inlineStr">
        <is>
          <t>Video &amp; Computers</t>
        </is>
      </c>
      <c r="B7" s="66" t="inlineStr">
        <is>
          <t>Show Computer Package</t>
        </is>
      </c>
      <c r="C7" s="74" t="inlineStr">
        <is>
          <t>Primary and backup show computers</t>
        </is>
      </c>
      <c r="D7" s="65" t="inlineStr">
        <is>
          <t>per day</t>
        </is>
      </c>
      <c r="E7" s="75" t="n">
        <v>900</v>
      </c>
    </row>
    <row r="8" ht="30" customHeight="1">
      <c r="A8" s="65" t="inlineStr">
        <is>
          <t>Video &amp; Computers</t>
        </is>
      </c>
      <c r="B8" s="66" t="inlineStr">
        <is>
          <t>Camera &amp; Lighting Package</t>
        </is>
      </c>
      <c r="C8" s="74" t="inlineStr">
        <is>
          <t>Cameras and lighting for speakers</t>
        </is>
      </c>
      <c r="D8" s="65" t="inlineStr">
        <is>
          <t>per day</t>
        </is>
      </c>
      <c r="E8" s="75" t="n">
        <v>1100</v>
      </c>
    </row>
    <row r="9" ht="30" customHeight="1">
      <c r="A9" s="65" t="inlineStr">
        <is>
          <t>Video &amp; Computers</t>
        </is>
      </c>
      <c r="B9" s="66" t="inlineStr">
        <is>
          <t>Dedicated Internet</t>
        </is>
      </c>
      <c r="C9" s="74" t="inlineStr">
        <is>
          <t>Wired line with cellular backup</t>
        </is>
      </c>
      <c r="D9" s="65" t="inlineStr">
        <is>
          <t>per day</t>
        </is>
      </c>
      <c r="E9" s="75" t="n">
        <v>500</v>
      </c>
    </row>
    <row r="10" ht="30" customHeight="1">
      <c r="A10" s="65" t="inlineStr">
        <is>
          <t>Screens</t>
        </is>
      </c>
      <c r="B10" s="66" t="inlineStr">
        <is>
          <t>Display Package</t>
        </is>
      </c>
      <c r="C10" s="74" t="inlineStr">
        <is>
          <t>Display, stand, and cabling</t>
        </is>
      </c>
      <c r="D10" s="65" t="inlineStr">
        <is>
          <t>per screen, per day</t>
        </is>
      </c>
      <c r="E10" s="75" t="n">
        <v>450</v>
      </c>
    </row>
    <row r="11" ht="30" customHeight="1">
      <c r="A11" s="65" t="inlineStr">
        <is>
          <t>Crew &amp; Rehearsal</t>
        </is>
      </c>
      <c r="B11" s="66" t="inlineStr">
        <is>
          <t>Lead Engineer</t>
        </is>
      </c>
      <c r="C11" s="74" t="inlineStr">
        <is>
          <t>Runs the show</t>
        </is>
      </c>
      <c r="D11" s="65" t="inlineStr">
        <is>
          <t>per day</t>
        </is>
      </c>
      <c r="E11" s="75" t="n">
        <v>1400</v>
      </c>
    </row>
    <row r="12" ht="30" customHeight="1">
      <c r="A12" s="65" t="inlineStr">
        <is>
          <t>Crew &amp; Rehearsal</t>
        </is>
      </c>
      <c r="B12" s="66" t="inlineStr">
        <is>
          <t>Call Operator</t>
        </is>
      </c>
      <c r="C12" s="74" t="inlineStr">
        <is>
          <t>Runs Zoom: guests, shares, recording</t>
        </is>
      </c>
      <c r="D12" s="65" t="inlineStr">
        <is>
          <t>per day</t>
        </is>
      </c>
      <c r="E12" s="75" t="n">
        <v>1000</v>
      </c>
    </row>
    <row r="13" ht="30" customHeight="1">
      <c r="A13" s="65" t="inlineStr">
        <is>
          <t>Crew &amp; Rehearsal</t>
        </is>
      </c>
      <c r="B13" s="66" t="inlineStr">
        <is>
          <t>Setup &amp; Rehearsal Day</t>
        </is>
      </c>
      <c r="C13" s="74" t="inlineStr">
        <is>
          <t>Build and full test, day before</t>
        </is>
      </c>
      <c r="D13" s="65" t="inlineStr">
        <is>
          <t>flat</t>
        </is>
      </c>
      <c r="E13" s="75" t="n">
        <v>1500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2" customWidth="1" min="4" max="4"/>
    <col width="14" customWidth="1" min="5" max="5"/>
    <col width="14" customWidth="1" min="6" max="6"/>
    <col width="40" customWidth="1" min="7" max="7"/>
    <col width="40" customWidth="1" min="8" max="8"/>
  </cols>
  <sheetData>
    <row r="1" ht="30" customHeight="1">
      <c r="A1" s="54" t="inlineStr">
        <is>
          <t>Event Log</t>
        </is>
      </c>
    </row>
    <row r="2">
      <c r="A2" s="55" t="inlineStr">
        <is>
          <t>One row per event. Save the finished PDF in the shared Drive folder, then paste its link in the PDF column.</t>
        </is>
      </c>
    </row>
    <row r="3">
      <c r="A3" s="76" t="inlineStr">
        <is>
          <t>PDF folder:</t>
        </is>
      </c>
      <c r="B3" s="77" t="inlineStr">
        <is>
          <t>Paste the Drive folder link here</t>
        </is>
      </c>
    </row>
    <row r="5">
      <c r="A5" s="78" t="inlineStr">
        <is>
          <t>Date</t>
        </is>
      </c>
      <c r="B5" s="78" t="inlineStr">
        <is>
          <t>Client</t>
        </is>
      </c>
      <c r="C5" s="78" t="inlineStr">
        <is>
          <t>Event</t>
        </is>
      </c>
      <c r="D5" s="78" t="inlineStr">
        <is>
          <t>Type</t>
        </is>
      </c>
      <c r="E5" s="78" t="inlineStr">
        <is>
          <t>Total</t>
        </is>
      </c>
      <c r="F5" s="78" t="inlineStr">
        <is>
          <t>Status</t>
        </is>
      </c>
      <c r="G5" s="78" t="inlineStr">
        <is>
          <t>PDF link</t>
        </is>
      </c>
      <c r="H5" s="78" t="inlineStr">
        <is>
          <t>Notes</t>
        </is>
      </c>
    </row>
    <row r="6">
      <c r="A6" s="79">
        <f>DATE(2026,11,12)</f>
        <v/>
      </c>
      <c r="B6" s="80" t="inlineStr">
        <is>
          <t>Acme Corp (sample)</t>
        </is>
      </c>
      <c r="C6" s="80" t="inlineStr">
        <is>
          <t>Q4 Leadership Town Hall</t>
        </is>
      </c>
      <c r="D6" s="80" t="inlineStr">
        <is>
          <t>Executive Zoom Call</t>
        </is>
      </c>
      <c r="E6" s="81" t="n">
        <v>11250</v>
      </c>
      <c r="F6" s="80" t="inlineStr">
        <is>
          <t>Sent</t>
        </is>
      </c>
      <c r="G6" s="80" t="inlineStr">
        <is>
          <t>Paste PDF link</t>
        </is>
      </c>
      <c r="H6" s="80" t="inlineStr">
        <is>
          <t>Delete this sample row</t>
        </is>
      </c>
    </row>
    <row r="7">
      <c r="A7" s="82" t="n"/>
      <c r="B7" s="23" t="n"/>
      <c r="C7" s="23" t="n"/>
      <c r="D7" s="23" t="n"/>
      <c r="E7" s="83" t="n"/>
      <c r="F7" s="23" t="n"/>
      <c r="G7" s="23" t="n"/>
      <c r="H7" s="23" t="n"/>
    </row>
    <row r="8">
      <c r="A8" s="82" t="n"/>
      <c r="B8" s="23" t="n"/>
      <c r="C8" s="23" t="n"/>
      <c r="D8" s="23" t="n"/>
      <c r="E8" s="83" t="n"/>
      <c r="F8" s="23" t="n"/>
      <c r="G8" s="23" t="n"/>
      <c r="H8" s="23" t="n"/>
    </row>
    <row r="9">
      <c r="A9" s="82" t="n"/>
      <c r="B9" s="23" t="n"/>
      <c r="C9" s="23" t="n"/>
      <c r="D9" s="23" t="n"/>
      <c r="E9" s="83" t="n"/>
      <c r="F9" s="23" t="n"/>
      <c r="G9" s="23" t="n"/>
      <c r="H9" s="23" t="n"/>
    </row>
    <row r="10">
      <c r="A10" s="82" t="n"/>
      <c r="B10" s="23" t="n"/>
      <c r="C10" s="23" t="n"/>
      <c r="D10" s="23" t="n"/>
      <c r="E10" s="83" t="n"/>
      <c r="F10" s="23" t="n"/>
      <c r="G10" s="23" t="n"/>
      <c r="H10" s="23" t="n"/>
    </row>
    <row r="11">
      <c r="A11" s="82" t="n"/>
      <c r="B11" s="23" t="n"/>
      <c r="C11" s="23" t="n"/>
      <c r="D11" s="23" t="n"/>
      <c r="E11" s="83" t="n"/>
      <c r="F11" s="23" t="n"/>
      <c r="G11" s="23" t="n"/>
      <c r="H11" s="23" t="n"/>
    </row>
    <row r="12">
      <c r="A12" s="82" t="n"/>
      <c r="B12" s="23" t="n"/>
      <c r="C12" s="23" t="n"/>
      <c r="D12" s="23" t="n"/>
      <c r="E12" s="83" t="n"/>
      <c r="F12" s="23" t="n"/>
      <c r="G12" s="23" t="n"/>
      <c r="H12" s="23" t="n"/>
    </row>
    <row r="13">
      <c r="A13" s="82" t="n"/>
      <c r="B13" s="23" t="n"/>
      <c r="C13" s="23" t="n"/>
      <c r="D13" s="23" t="n"/>
      <c r="E13" s="83" t="n"/>
      <c r="F13" s="23" t="n"/>
      <c r="G13" s="23" t="n"/>
      <c r="H13" s="23" t="n"/>
    </row>
    <row r="14">
      <c r="A14" s="82" t="n"/>
      <c r="B14" s="23" t="n"/>
      <c r="C14" s="23" t="n"/>
      <c r="D14" s="23" t="n"/>
      <c r="E14" s="83" t="n"/>
      <c r="F14" s="23" t="n"/>
      <c r="G14" s="23" t="n"/>
      <c r="H14" s="23" t="n"/>
    </row>
    <row r="15">
      <c r="A15" s="82" t="n"/>
      <c r="B15" s="23" t="n"/>
      <c r="C15" s="23" t="n"/>
      <c r="D15" s="23" t="n"/>
      <c r="E15" s="83" t="n"/>
      <c r="F15" s="23" t="n"/>
      <c r="G15" s="23" t="n"/>
      <c r="H15" s="23" t="n"/>
    </row>
    <row r="16">
      <c r="A16" s="82" t="n"/>
      <c r="B16" s="23" t="n"/>
      <c r="C16" s="23" t="n"/>
      <c r="D16" s="23" t="n"/>
      <c r="E16" s="83" t="n"/>
      <c r="F16" s="23" t="n"/>
      <c r="G16" s="23" t="n"/>
      <c r="H16" s="23" t="n"/>
    </row>
    <row r="17">
      <c r="A17" s="82" t="n"/>
      <c r="B17" s="23" t="n"/>
      <c r="C17" s="23" t="n"/>
      <c r="D17" s="23" t="n"/>
      <c r="E17" s="83" t="n"/>
      <c r="F17" s="23" t="n"/>
      <c r="G17" s="23" t="n"/>
      <c r="H17" s="23" t="n"/>
    </row>
    <row r="18">
      <c r="A18" s="82" t="n"/>
      <c r="B18" s="23" t="n"/>
      <c r="C18" s="23" t="n"/>
      <c r="D18" s="23" t="n"/>
      <c r="E18" s="83" t="n"/>
      <c r="F18" s="23" t="n"/>
      <c r="G18" s="23" t="n"/>
      <c r="H18" s="23" t="n"/>
    </row>
    <row r="19">
      <c r="A19" s="82" t="n"/>
      <c r="B19" s="23" t="n"/>
      <c r="C19" s="23" t="n"/>
      <c r="D19" s="23" t="n"/>
      <c r="E19" s="83" t="n"/>
      <c r="F19" s="23" t="n"/>
      <c r="G19" s="23" t="n"/>
      <c r="H19" s="23" t="n"/>
    </row>
    <row r="20">
      <c r="A20" s="82" t="n"/>
      <c r="B20" s="23" t="n"/>
      <c r="C20" s="23" t="n"/>
      <c r="D20" s="23" t="n"/>
      <c r="E20" s="83" t="n"/>
      <c r="F20" s="23" t="n"/>
      <c r="G20" s="23" t="n"/>
      <c r="H20" s="23" t="n"/>
    </row>
    <row r="21">
      <c r="A21" s="82" t="n"/>
      <c r="B21" s="23" t="n"/>
      <c r="C21" s="23" t="n"/>
      <c r="D21" s="23" t="n"/>
      <c r="E21" s="83" t="n"/>
      <c r="F21" s="23" t="n"/>
      <c r="G21" s="23" t="n"/>
      <c r="H21" s="23" t="n"/>
    </row>
    <row r="22">
      <c r="A22" s="82" t="n"/>
      <c r="B22" s="23" t="n"/>
      <c r="C22" s="23" t="n"/>
      <c r="D22" s="23" t="n"/>
      <c r="E22" s="83" t="n"/>
      <c r="F22" s="23" t="n"/>
      <c r="G22" s="23" t="n"/>
      <c r="H22" s="23" t="n"/>
    </row>
    <row r="23">
      <c r="A23" s="82" t="n"/>
      <c r="B23" s="23" t="n"/>
      <c r="C23" s="23" t="n"/>
      <c r="D23" s="23" t="n"/>
      <c r="E23" s="83" t="n"/>
      <c r="F23" s="23" t="n"/>
      <c r="G23" s="23" t="n"/>
      <c r="H23" s="23" t="n"/>
    </row>
    <row r="24">
      <c r="A24" s="82" t="n"/>
      <c r="B24" s="23" t="n"/>
      <c r="C24" s="23" t="n"/>
      <c r="D24" s="23" t="n"/>
      <c r="E24" s="83" t="n"/>
      <c r="F24" s="23" t="n"/>
      <c r="G24" s="23" t="n"/>
      <c r="H24" s="23" t="n"/>
    </row>
    <row r="25">
      <c r="A25" s="82" t="n"/>
      <c r="B25" s="23" t="n"/>
      <c r="C25" s="23" t="n"/>
      <c r="D25" s="23" t="n"/>
      <c r="E25" s="83" t="n"/>
      <c r="F25" s="23" t="n"/>
      <c r="G25" s="23" t="n"/>
      <c r="H25" s="23" t="n"/>
    </row>
    <row r="26">
      <c r="A26" s="82" t="n"/>
      <c r="B26" s="23" t="n"/>
      <c r="C26" s="23" t="n"/>
      <c r="D26" s="23" t="n"/>
      <c r="E26" s="83" t="n"/>
      <c r="F26" s="23" t="n"/>
      <c r="G26" s="23" t="n"/>
      <c r="H26" s="23" t="n"/>
    </row>
    <row r="27">
      <c r="A27" s="82" t="n"/>
      <c r="B27" s="23" t="n"/>
      <c r="C27" s="23" t="n"/>
      <c r="D27" s="23" t="n"/>
      <c r="E27" s="83" t="n"/>
      <c r="F27" s="23" t="n"/>
      <c r="G27" s="23" t="n"/>
      <c r="H27" s="23" t="n"/>
    </row>
    <row r="28">
      <c r="A28" s="82" t="n"/>
      <c r="B28" s="23" t="n"/>
      <c r="C28" s="23" t="n"/>
      <c r="D28" s="23" t="n"/>
      <c r="E28" s="83" t="n"/>
      <c r="F28" s="23" t="n"/>
      <c r="G28" s="23" t="n"/>
      <c r="H28" s="23" t="n"/>
    </row>
    <row r="29">
      <c r="A29" s="82" t="n"/>
      <c r="B29" s="23" t="n"/>
      <c r="C29" s="23" t="n"/>
      <c r="D29" s="23" t="n"/>
      <c r="E29" s="83" t="n"/>
      <c r="F29" s="23" t="n"/>
      <c r="G29" s="23" t="n"/>
      <c r="H29" s="23" t="n"/>
    </row>
    <row r="30">
      <c r="A30" s="82" t="n"/>
      <c r="B30" s="23" t="n"/>
      <c r="C30" s="23" t="n"/>
      <c r="D30" s="23" t="n"/>
      <c r="E30" s="83" t="n"/>
      <c r="F30" s="23" t="n"/>
      <c r="G30" s="23" t="n"/>
      <c r="H30" s="23" t="n"/>
    </row>
    <row r="31">
      <c r="A31" s="82" t="n"/>
      <c r="B31" s="23" t="n"/>
      <c r="C31" s="23" t="n"/>
      <c r="D31" s="23" t="n"/>
      <c r="E31" s="83" t="n"/>
      <c r="F31" s="23" t="n"/>
      <c r="G31" s="23" t="n"/>
      <c r="H31" s="23" t="n"/>
    </row>
    <row r="32">
      <c r="A32" s="82" t="n"/>
      <c r="B32" s="23" t="n"/>
      <c r="C32" s="23" t="n"/>
      <c r="D32" s="23" t="n"/>
      <c r="E32" s="83" t="n"/>
      <c r="F32" s="23" t="n"/>
      <c r="G32" s="23" t="n"/>
      <c r="H32" s="23" t="n"/>
    </row>
    <row r="33">
      <c r="A33" s="82" t="n"/>
      <c r="B33" s="23" t="n"/>
      <c r="C33" s="23" t="n"/>
      <c r="D33" s="23" t="n"/>
      <c r="E33" s="83" t="n"/>
      <c r="F33" s="23" t="n"/>
      <c r="G33" s="23" t="n"/>
      <c r="H33" s="23" t="n"/>
    </row>
    <row r="34">
      <c r="A34" s="82" t="n"/>
      <c r="B34" s="23" t="n"/>
      <c r="C34" s="23" t="n"/>
      <c r="D34" s="23" t="n"/>
      <c r="E34" s="83" t="n"/>
      <c r="F34" s="23" t="n"/>
      <c r="G34" s="23" t="n"/>
      <c r="H34" s="23" t="n"/>
    </row>
    <row r="35">
      <c r="A35" s="82" t="n"/>
      <c r="B35" s="23" t="n"/>
      <c r="C35" s="23" t="n"/>
      <c r="D35" s="23" t="n"/>
      <c r="E35" s="83" t="n"/>
      <c r="F35" s="23" t="n"/>
      <c r="G35" s="23" t="n"/>
      <c r="H35" s="23" t="n"/>
    </row>
    <row r="36">
      <c r="A36" s="82" t="n"/>
      <c r="B36" s="23" t="n"/>
      <c r="C36" s="23" t="n"/>
      <c r="D36" s="23" t="n"/>
      <c r="E36" s="83" t="n"/>
      <c r="F36" s="23" t="n"/>
      <c r="G36" s="23" t="n"/>
      <c r="H36" s="23" t="n"/>
    </row>
    <row r="37">
      <c r="A37" s="82" t="n"/>
      <c r="B37" s="23" t="n"/>
      <c r="C37" s="23" t="n"/>
      <c r="D37" s="23" t="n"/>
      <c r="E37" s="83" t="n"/>
      <c r="F37" s="23" t="n"/>
      <c r="G37" s="23" t="n"/>
      <c r="H37" s="23" t="n"/>
    </row>
    <row r="38">
      <c r="A38" s="82" t="n"/>
      <c r="B38" s="23" t="n"/>
      <c r="C38" s="23" t="n"/>
      <c r="D38" s="23" t="n"/>
      <c r="E38" s="83" t="n"/>
      <c r="F38" s="23" t="n"/>
      <c r="G38" s="23" t="n"/>
      <c r="H38" s="23" t="n"/>
    </row>
    <row r="39">
      <c r="A39" s="82" t="n"/>
      <c r="B39" s="23" t="n"/>
      <c r="C39" s="23" t="n"/>
      <c r="D39" s="23" t="n"/>
      <c r="E39" s="83" t="n"/>
      <c r="F39" s="23" t="n"/>
      <c r="G39" s="23" t="n"/>
      <c r="H39" s="23" t="n"/>
    </row>
    <row r="40">
      <c r="A40" s="82" t="n"/>
      <c r="B40" s="23" t="n"/>
      <c r="C40" s="23" t="n"/>
      <c r="D40" s="23" t="n"/>
      <c r="E40" s="83" t="n"/>
      <c r="F40" s="23" t="n"/>
      <c r="G40" s="23" t="n"/>
      <c r="H40" s="23" t="n"/>
    </row>
    <row r="41">
      <c r="A41" s="82" t="n"/>
      <c r="B41" s="23" t="n"/>
      <c r="C41" s="23" t="n"/>
      <c r="D41" s="23" t="n"/>
      <c r="E41" s="83" t="n"/>
      <c r="F41" s="23" t="n"/>
      <c r="G41" s="23" t="n"/>
      <c r="H41" s="23" t="n"/>
    </row>
    <row r="42">
      <c r="A42" s="82" t="n"/>
      <c r="B42" s="23" t="n"/>
      <c r="C42" s="23" t="n"/>
      <c r="D42" s="23" t="n"/>
      <c r="E42" s="83" t="n"/>
      <c r="F42" s="23" t="n"/>
      <c r="G42" s="23" t="n"/>
      <c r="H42" s="23" t="n"/>
    </row>
    <row r="43">
      <c r="A43" s="82" t="n"/>
      <c r="B43" s="23" t="n"/>
      <c r="C43" s="23" t="n"/>
      <c r="D43" s="23" t="n"/>
      <c r="E43" s="83" t="n"/>
      <c r="F43" s="23" t="n"/>
      <c r="G43" s="23" t="n"/>
      <c r="H43" s="23" t="n"/>
    </row>
    <row r="44">
      <c r="A44" s="82" t="n"/>
      <c r="B44" s="23" t="n"/>
      <c r="C44" s="23" t="n"/>
      <c r="D44" s="23" t="n"/>
      <c r="E44" s="83" t="n"/>
      <c r="F44" s="23" t="n"/>
      <c r="G44" s="23" t="n"/>
      <c r="H44" s="23" t="n"/>
    </row>
    <row r="45">
      <c r="A45" s="82" t="n"/>
      <c r="B45" s="23" t="n"/>
      <c r="C45" s="23" t="n"/>
      <c r="D45" s="23" t="n"/>
      <c r="E45" s="83" t="n"/>
      <c r="F45" s="23" t="n"/>
      <c r="G45" s="23" t="n"/>
      <c r="H45" s="23" t="n"/>
    </row>
    <row r="46">
      <c r="A46" s="82" t="n"/>
      <c r="B46" s="23" t="n"/>
      <c r="C46" s="23" t="n"/>
      <c r="D46" s="23" t="n"/>
      <c r="E46" s="83" t="n"/>
      <c r="F46" s="23" t="n"/>
      <c r="G46" s="23" t="n"/>
      <c r="H46" s="23" t="n"/>
    </row>
    <row r="47">
      <c r="A47" s="82" t="n"/>
      <c r="B47" s="23" t="n"/>
      <c r="C47" s="23" t="n"/>
      <c r="D47" s="23" t="n"/>
      <c r="E47" s="83" t="n"/>
      <c r="F47" s="23" t="n"/>
      <c r="G47" s="23" t="n"/>
      <c r="H47" s="23" t="n"/>
    </row>
    <row r="48">
      <c r="A48" s="82" t="n"/>
      <c r="B48" s="23" t="n"/>
      <c r="C48" s="23" t="n"/>
      <c r="D48" s="23" t="n"/>
      <c r="E48" s="83" t="n"/>
      <c r="F48" s="23" t="n"/>
      <c r="G48" s="23" t="n"/>
      <c r="H48" s="23" t="n"/>
    </row>
    <row r="49">
      <c r="A49" s="82" t="n"/>
      <c r="B49" s="23" t="n"/>
      <c r="C49" s="23" t="n"/>
      <c r="D49" s="23" t="n"/>
      <c r="E49" s="83" t="n"/>
      <c r="F49" s="23" t="n"/>
      <c r="G49" s="23" t="n"/>
      <c r="H49" s="23" t="n"/>
    </row>
    <row r="50">
      <c r="A50" s="82" t="n"/>
      <c r="B50" s="23" t="n"/>
      <c r="C50" s="23" t="n"/>
      <c r="D50" s="23" t="n"/>
      <c r="E50" s="83" t="n"/>
      <c r="F50" s="23" t="n"/>
      <c r="G50" s="23" t="n"/>
      <c r="H50" s="23" t="n"/>
    </row>
    <row r="51">
      <c r="A51" s="82" t="n"/>
      <c r="B51" s="23" t="n"/>
      <c r="C51" s="23" t="n"/>
      <c r="D51" s="23" t="n"/>
      <c r="E51" s="83" t="n"/>
      <c r="F51" s="23" t="n"/>
      <c r="G51" s="23" t="n"/>
      <c r="H51" s="23" t="n"/>
    </row>
    <row r="52">
      <c r="A52" s="82" t="n"/>
      <c r="B52" s="23" t="n"/>
      <c r="C52" s="23" t="n"/>
      <c r="D52" s="23" t="n"/>
      <c r="E52" s="83" t="n"/>
      <c r="F52" s="23" t="n"/>
      <c r="G52" s="23" t="n"/>
      <c r="H52" s="23" t="n"/>
    </row>
    <row r="53">
      <c r="A53" s="82" t="n"/>
      <c r="B53" s="23" t="n"/>
      <c r="C53" s="23" t="n"/>
      <c r="D53" s="23" t="n"/>
      <c r="E53" s="83" t="n"/>
      <c r="F53" s="23" t="n"/>
      <c r="G53" s="23" t="n"/>
      <c r="H53" s="23" t="n"/>
    </row>
    <row r="54">
      <c r="A54" s="82" t="n"/>
      <c r="B54" s="23" t="n"/>
      <c r="C54" s="23" t="n"/>
      <c r="D54" s="23" t="n"/>
      <c r="E54" s="83" t="n"/>
      <c r="F54" s="23" t="n"/>
      <c r="G54" s="23" t="n"/>
      <c r="H54" s="23" t="n"/>
    </row>
    <row r="55">
      <c r="A55" s="82" t="n"/>
      <c r="B55" s="23" t="n"/>
      <c r="C55" s="23" t="n"/>
      <c r="D55" s="23" t="n"/>
      <c r="E55" s="83" t="n"/>
      <c r="F55" s="23" t="n"/>
      <c r="G55" s="23" t="n"/>
      <c r="H55" s="23" t="n"/>
    </row>
    <row r="56">
      <c r="A56" s="82" t="n"/>
      <c r="B56" s="23" t="n"/>
      <c r="C56" s="23" t="n"/>
      <c r="D56" s="23" t="n"/>
      <c r="E56" s="83" t="n"/>
      <c r="F56" s="23" t="n"/>
      <c r="G56" s="23" t="n"/>
      <c r="H56" s="23" t="n"/>
    </row>
    <row r="57">
      <c r="A57" s="82" t="n"/>
      <c r="B57" s="23" t="n"/>
      <c r="C57" s="23" t="n"/>
      <c r="D57" s="23" t="n"/>
      <c r="E57" s="83" t="n"/>
      <c r="F57" s="23" t="n"/>
      <c r="G57" s="23" t="n"/>
      <c r="H57" s="23" t="n"/>
    </row>
    <row r="58">
      <c r="A58" s="82" t="n"/>
      <c r="B58" s="23" t="n"/>
      <c r="C58" s="23" t="n"/>
      <c r="D58" s="23" t="n"/>
      <c r="E58" s="83" t="n"/>
      <c r="F58" s="23" t="n"/>
      <c r="G58" s="23" t="n"/>
      <c r="H58" s="23" t="n"/>
    </row>
    <row r="59">
      <c r="A59" s="82" t="n"/>
      <c r="B59" s="23" t="n"/>
      <c r="C59" s="23" t="n"/>
      <c r="D59" s="23" t="n"/>
      <c r="E59" s="83" t="n"/>
      <c r="F59" s="23" t="n"/>
      <c r="G59" s="23" t="n"/>
      <c r="H59" s="23" t="n"/>
    </row>
    <row r="60">
      <c r="A60" s="82" t="n"/>
      <c r="B60" s="23" t="n"/>
      <c r="C60" s="23" t="n"/>
      <c r="D60" s="23" t="n"/>
      <c r="E60" s="83" t="n"/>
      <c r="F60" s="23" t="n"/>
      <c r="G60" s="23" t="n"/>
      <c r="H60" s="23" t="n"/>
    </row>
    <row r="61">
      <c r="A61" s="82" t="n"/>
      <c r="B61" s="23" t="n"/>
      <c r="C61" s="23" t="n"/>
      <c r="D61" s="23" t="n"/>
      <c r="E61" s="83" t="n"/>
      <c r="F61" s="23" t="n"/>
      <c r="G61" s="23" t="n"/>
      <c r="H61" s="23" t="n"/>
    </row>
    <row r="62">
      <c r="A62" s="82" t="n"/>
      <c r="B62" s="23" t="n"/>
      <c r="C62" s="23" t="n"/>
      <c r="D62" s="23" t="n"/>
      <c r="E62" s="83" t="n"/>
      <c r="F62" s="23" t="n"/>
      <c r="G62" s="23" t="n"/>
      <c r="H62" s="23" t="n"/>
    </row>
    <row r="63">
      <c r="A63" s="82" t="n"/>
      <c r="B63" s="23" t="n"/>
      <c r="C63" s="23" t="n"/>
      <c r="D63" s="23" t="n"/>
      <c r="E63" s="83" t="n"/>
      <c r="F63" s="23" t="n"/>
      <c r="G63" s="23" t="n"/>
      <c r="H63" s="23" t="n"/>
    </row>
    <row r="64">
      <c r="A64" s="82" t="n"/>
      <c r="B64" s="23" t="n"/>
      <c r="C64" s="23" t="n"/>
      <c r="D64" s="23" t="n"/>
      <c r="E64" s="83" t="n"/>
      <c r="F64" s="23" t="n"/>
      <c r="G64" s="23" t="n"/>
      <c r="H64" s="23" t="n"/>
    </row>
    <row r="65">
      <c r="A65" s="82" t="n"/>
      <c r="B65" s="23" t="n"/>
      <c r="C65" s="23" t="n"/>
      <c r="D65" s="23" t="n"/>
      <c r="E65" s="83" t="n"/>
      <c r="F65" s="23" t="n"/>
      <c r="G65" s="23" t="n"/>
      <c r="H65" s="23" t="n"/>
    </row>
    <row r="66">
      <c r="A66" s="82" t="n"/>
      <c r="B66" s="23" t="n"/>
      <c r="C66" s="23" t="n"/>
      <c r="D66" s="23" t="n"/>
      <c r="E66" s="83" t="n"/>
      <c r="F66" s="23" t="n"/>
      <c r="G66" s="23" t="n"/>
      <c r="H66" s="23" t="n"/>
    </row>
    <row r="67">
      <c r="A67" s="82" t="n"/>
      <c r="B67" s="23" t="n"/>
      <c r="C67" s="23" t="n"/>
      <c r="D67" s="23" t="n"/>
      <c r="E67" s="83" t="n"/>
      <c r="F67" s="23" t="n"/>
      <c r="G67" s="23" t="n"/>
      <c r="H67" s="23" t="n"/>
    </row>
    <row r="68">
      <c r="A68" s="82" t="n"/>
      <c r="B68" s="23" t="n"/>
      <c r="C68" s="23" t="n"/>
      <c r="D68" s="23" t="n"/>
      <c r="E68" s="83" t="n"/>
      <c r="F68" s="23" t="n"/>
      <c r="G68" s="23" t="n"/>
      <c r="H68" s="23" t="n"/>
    </row>
    <row r="69">
      <c r="A69" s="82" t="n"/>
      <c r="B69" s="23" t="n"/>
      <c r="C69" s="23" t="n"/>
      <c r="D69" s="23" t="n"/>
      <c r="E69" s="83" t="n"/>
      <c r="F69" s="23" t="n"/>
      <c r="G69" s="23" t="n"/>
      <c r="H69" s="23" t="n"/>
    </row>
    <row r="70">
      <c r="A70" s="82" t="n"/>
      <c r="B70" s="23" t="n"/>
      <c r="C70" s="23" t="n"/>
      <c r="D70" s="23" t="n"/>
      <c r="E70" s="83" t="n"/>
      <c r="F70" s="23" t="n"/>
      <c r="G70" s="23" t="n"/>
      <c r="H70" s="23" t="n"/>
    </row>
    <row r="71">
      <c r="A71" s="82" t="n"/>
      <c r="B71" s="23" t="n"/>
      <c r="C71" s="23" t="n"/>
      <c r="D71" s="23" t="n"/>
      <c r="E71" s="83" t="n"/>
      <c r="F71" s="23" t="n"/>
      <c r="G71" s="23" t="n"/>
      <c r="H71" s="23" t="n"/>
    </row>
    <row r="72">
      <c r="A72" s="82" t="n"/>
      <c r="B72" s="23" t="n"/>
      <c r="C72" s="23" t="n"/>
      <c r="D72" s="23" t="n"/>
      <c r="E72" s="83" t="n"/>
      <c r="F72" s="23" t="n"/>
      <c r="G72" s="23" t="n"/>
      <c r="H72" s="23" t="n"/>
    </row>
    <row r="73">
      <c r="A73" s="82" t="n"/>
      <c r="B73" s="23" t="n"/>
      <c r="C73" s="23" t="n"/>
      <c r="D73" s="23" t="n"/>
      <c r="E73" s="83" t="n"/>
      <c r="F73" s="23" t="n"/>
      <c r="G73" s="23" t="n"/>
      <c r="H73" s="23" t="n"/>
    </row>
    <row r="74">
      <c r="A74" s="82" t="n"/>
      <c r="B74" s="23" t="n"/>
      <c r="C74" s="23" t="n"/>
      <c r="D74" s="23" t="n"/>
      <c r="E74" s="83" t="n"/>
      <c r="F74" s="23" t="n"/>
      <c r="G74" s="23" t="n"/>
      <c r="H74" s="23" t="n"/>
    </row>
    <row r="75">
      <c r="A75" s="82" t="n"/>
      <c r="B75" s="23" t="n"/>
      <c r="C75" s="23" t="n"/>
      <c r="D75" s="23" t="n"/>
      <c r="E75" s="83" t="n"/>
      <c r="F75" s="23" t="n"/>
      <c r="G75" s="23" t="n"/>
      <c r="H75" s="23" t="n"/>
    </row>
    <row r="76">
      <c r="A76" s="82" t="n"/>
      <c r="B76" s="23" t="n"/>
      <c r="C76" s="23" t="n"/>
      <c r="D76" s="23" t="n"/>
      <c r="E76" s="83" t="n"/>
      <c r="F76" s="23" t="n"/>
      <c r="G76" s="23" t="n"/>
      <c r="H76" s="23" t="n"/>
    </row>
    <row r="77">
      <c r="A77" s="82" t="n"/>
      <c r="B77" s="23" t="n"/>
      <c r="C77" s="23" t="n"/>
      <c r="D77" s="23" t="n"/>
      <c r="E77" s="83" t="n"/>
      <c r="F77" s="23" t="n"/>
      <c r="G77" s="23" t="n"/>
      <c r="H77" s="23" t="n"/>
    </row>
    <row r="78">
      <c r="A78" s="82" t="n"/>
      <c r="B78" s="23" t="n"/>
      <c r="C78" s="23" t="n"/>
      <c r="D78" s="23" t="n"/>
      <c r="E78" s="83" t="n"/>
      <c r="F78" s="23" t="n"/>
      <c r="G78" s="23" t="n"/>
      <c r="H78" s="23" t="n"/>
    </row>
    <row r="79">
      <c r="A79" s="82" t="n"/>
      <c r="B79" s="23" t="n"/>
      <c r="C79" s="23" t="n"/>
      <c r="D79" s="23" t="n"/>
      <c r="E79" s="83" t="n"/>
      <c r="F79" s="23" t="n"/>
      <c r="G79" s="23" t="n"/>
      <c r="H79" s="23" t="n"/>
    </row>
    <row r="80">
      <c r="A80" s="82" t="n"/>
      <c r="B80" s="23" t="n"/>
      <c r="C80" s="23" t="n"/>
      <c r="D80" s="23" t="n"/>
      <c r="E80" s="83" t="n"/>
      <c r="F80" s="23" t="n"/>
      <c r="G80" s="23" t="n"/>
      <c r="H80" s="23" t="n"/>
    </row>
    <row r="81">
      <c r="A81" s="82" t="n"/>
      <c r="B81" s="23" t="n"/>
      <c r="C81" s="23" t="n"/>
      <c r="D81" s="23" t="n"/>
      <c r="E81" s="83" t="n"/>
      <c r="F81" s="23" t="n"/>
      <c r="G81" s="23" t="n"/>
      <c r="H81" s="23" t="n"/>
    </row>
    <row r="82">
      <c r="A82" s="82" t="n"/>
      <c r="B82" s="23" t="n"/>
      <c r="C82" s="23" t="n"/>
      <c r="D82" s="23" t="n"/>
      <c r="E82" s="83" t="n"/>
      <c r="F82" s="23" t="n"/>
      <c r="G82" s="23" t="n"/>
      <c r="H82" s="23" t="n"/>
    </row>
    <row r="83">
      <c r="A83" s="82" t="n"/>
      <c r="B83" s="23" t="n"/>
      <c r="C83" s="23" t="n"/>
      <c r="D83" s="23" t="n"/>
      <c r="E83" s="83" t="n"/>
      <c r="F83" s="23" t="n"/>
      <c r="G83" s="23" t="n"/>
      <c r="H83" s="23" t="n"/>
    </row>
    <row r="84">
      <c r="A84" s="82" t="n"/>
      <c r="B84" s="23" t="n"/>
      <c r="C84" s="23" t="n"/>
      <c r="D84" s="23" t="n"/>
      <c r="E84" s="83" t="n"/>
      <c r="F84" s="23" t="n"/>
      <c r="G84" s="23" t="n"/>
      <c r="H84" s="23" t="n"/>
    </row>
    <row r="85">
      <c r="A85" s="82" t="n"/>
      <c r="B85" s="23" t="n"/>
      <c r="C85" s="23" t="n"/>
      <c r="D85" s="23" t="n"/>
      <c r="E85" s="83" t="n"/>
      <c r="F85" s="23" t="n"/>
      <c r="G85" s="23" t="n"/>
      <c r="H85" s="23" t="n"/>
    </row>
    <row r="86">
      <c r="A86" s="82" t="n"/>
      <c r="B86" s="23" t="n"/>
      <c r="C86" s="23" t="n"/>
      <c r="D86" s="23" t="n"/>
      <c r="E86" s="83" t="n"/>
      <c r="F86" s="23" t="n"/>
      <c r="G86" s="23" t="n"/>
      <c r="H86" s="23" t="n"/>
    </row>
    <row r="87">
      <c r="A87" s="82" t="n"/>
      <c r="B87" s="23" t="n"/>
      <c r="C87" s="23" t="n"/>
      <c r="D87" s="23" t="n"/>
      <c r="E87" s="83" t="n"/>
      <c r="F87" s="23" t="n"/>
      <c r="G87" s="23" t="n"/>
      <c r="H87" s="23" t="n"/>
    </row>
    <row r="88">
      <c r="A88" s="82" t="n"/>
      <c r="B88" s="23" t="n"/>
      <c r="C88" s="23" t="n"/>
      <c r="D88" s="23" t="n"/>
      <c r="E88" s="83" t="n"/>
      <c r="F88" s="23" t="n"/>
      <c r="G88" s="23" t="n"/>
      <c r="H88" s="23" t="n"/>
    </row>
    <row r="89">
      <c r="A89" s="82" t="n"/>
      <c r="B89" s="23" t="n"/>
      <c r="C89" s="23" t="n"/>
      <c r="D89" s="23" t="n"/>
      <c r="E89" s="83" t="n"/>
      <c r="F89" s="23" t="n"/>
      <c r="G89" s="23" t="n"/>
      <c r="H89" s="23" t="n"/>
    </row>
    <row r="90">
      <c r="A90" s="82" t="n"/>
      <c r="B90" s="23" t="n"/>
      <c r="C90" s="23" t="n"/>
      <c r="D90" s="23" t="n"/>
      <c r="E90" s="83" t="n"/>
      <c r="F90" s="23" t="n"/>
      <c r="G90" s="23" t="n"/>
      <c r="H90" s="23" t="n"/>
    </row>
    <row r="91">
      <c r="A91" s="82" t="n"/>
      <c r="B91" s="23" t="n"/>
      <c r="C91" s="23" t="n"/>
      <c r="D91" s="23" t="n"/>
      <c r="E91" s="83" t="n"/>
      <c r="F91" s="23" t="n"/>
      <c r="G91" s="23" t="n"/>
      <c r="H91" s="23" t="n"/>
    </row>
    <row r="92">
      <c r="A92" s="82" t="n"/>
      <c r="B92" s="23" t="n"/>
      <c r="C92" s="23" t="n"/>
      <c r="D92" s="23" t="n"/>
      <c r="E92" s="83" t="n"/>
      <c r="F92" s="23" t="n"/>
      <c r="G92" s="23" t="n"/>
      <c r="H92" s="23" t="n"/>
    </row>
    <row r="93">
      <c r="A93" s="82" t="n"/>
      <c r="B93" s="23" t="n"/>
      <c r="C93" s="23" t="n"/>
      <c r="D93" s="23" t="n"/>
      <c r="E93" s="83" t="n"/>
      <c r="F93" s="23" t="n"/>
      <c r="G93" s="23" t="n"/>
      <c r="H93" s="23" t="n"/>
    </row>
    <row r="94">
      <c r="A94" s="82" t="n"/>
      <c r="B94" s="23" t="n"/>
      <c r="C94" s="23" t="n"/>
      <c r="D94" s="23" t="n"/>
      <c r="E94" s="83" t="n"/>
      <c r="F94" s="23" t="n"/>
      <c r="G94" s="23" t="n"/>
      <c r="H94" s="23" t="n"/>
    </row>
    <row r="95">
      <c r="A95" s="82" t="n"/>
      <c r="B95" s="23" t="n"/>
      <c r="C95" s="23" t="n"/>
      <c r="D95" s="23" t="n"/>
      <c r="E95" s="83" t="n"/>
      <c r="F95" s="23" t="n"/>
      <c r="G95" s="23" t="n"/>
      <c r="H95" s="23" t="n"/>
    </row>
    <row r="96">
      <c r="A96" s="82" t="n"/>
      <c r="B96" s="23" t="n"/>
      <c r="C96" s="23" t="n"/>
      <c r="D96" s="23" t="n"/>
      <c r="E96" s="83" t="n"/>
      <c r="F96" s="23" t="n"/>
      <c r="G96" s="23" t="n"/>
      <c r="H96" s="23" t="n"/>
    </row>
    <row r="97">
      <c r="A97" s="82" t="n"/>
      <c r="B97" s="23" t="n"/>
      <c r="C97" s="23" t="n"/>
      <c r="D97" s="23" t="n"/>
      <c r="E97" s="83" t="n"/>
      <c r="F97" s="23" t="n"/>
      <c r="G97" s="23" t="n"/>
      <c r="H97" s="23" t="n"/>
    </row>
    <row r="98">
      <c r="A98" s="82" t="n"/>
      <c r="B98" s="23" t="n"/>
      <c r="C98" s="23" t="n"/>
      <c r="D98" s="23" t="n"/>
      <c r="E98" s="83" t="n"/>
      <c r="F98" s="23" t="n"/>
      <c r="G98" s="23" t="n"/>
      <c r="H98" s="23" t="n"/>
    </row>
    <row r="99">
      <c r="A99" s="82" t="n"/>
      <c r="B99" s="23" t="n"/>
      <c r="C99" s="23" t="n"/>
      <c r="D99" s="23" t="n"/>
      <c r="E99" s="83" t="n"/>
      <c r="F99" s="23" t="n"/>
      <c r="G99" s="23" t="n"/>
      <c r="H99" s="23" t="n"/>
    </row>
    <row r="100">
      <c r="A100" s="82" t="n"/>
      <c r="B100" s="23" t="n"/>
      <c r="C100" s="23" t="n"/>
      <c r="D100" s="23" t="n"/>
      <c r="E100" s="83" t="n"/>
      <c r="F100" s="23" t="n"/>
      <c r="G100" s="23" t="n"/>
      <c r="H100" s="23" t="n"/>
    </row>
    <row r="101">
      <c r="A101" s="82" t="n"/>
      <c r="B101" s="23" t="n"/>
      <c r="C101" s="23" t="n"/>
      <c r="D101" s="23" t="n"/>
      <c r="E101" s="83" t="n"/>
      <c r="F101" s="23" t="n"/>
      <c r="G101" s="23" t="n"/>
      <c r="H101" s="23" t="n"/>
    </row>
    <row r="102">
      <c r="A102" s="82" t="n"/>
      <c r="B102" s="23" t="n"/>
      <c r="C102" s="23" t="n"/>
      <c r="D102" s="23" t="n"/>
      <c r="E102" s="83" t="n"/>
      <c r="F102" s="23" t="n"/>
      <c r="G102" s="23" t="n"/>
      <c r="H102" s="23" t="n"/>
    </row>
    <row r="103">
      <c r="A103" s="82" t="n"/>
      <c r="B103" s="23" t="n"/>
      <c r="C103" s="23" t="n"/>
      <c r="D103" s="23" t="n"/>
      <c r="E103" s="83" t="n"/>
      <c r="F103" s="23" t="n"/>
      <c r="G103" s="23" t="n"/>
      <c r="H103" s="23" t="n"/>
    </row>
    <row r="104">
      <c r="A104" s="82" t="n"/>
      <c r="B104" s="23" t="n"/>
      <c r="C104" s="23" t="n"/>
      <c r="D104" s="23" t="n"/>
      <c r="E104" s="83" t="n"/>
      <c r="F104" s="23" t="n"/>
      <c r="G104" s="23" t="n"/>
      <c r="H104" s="23" t="n"/>
    </row>
    <row r="105">
      <c r="A105" s="82" t="n"/>
      <c r="B105" s="23" t="n"/>
      <c r="C105" s="23" t="n"/>
      <c r="D105" s="23" t="n"/>
      <c r="E105" s="83" t="n"/>
      <c r="F105" s="23" t="n"/>
      <c r="G105" s="23" t="n"/>
      <c r="H105" s="23" t="n"/>
    </row>
    <row r="106">
      <c r="A106" s="82" t="n"/>
      <c r="B106" s="23" t="n"/>
      <c r="C106" s="23" t="n"/>
      <c r="D106" s="23" t="n"/>
      <c r="E106" s="83" t="n"/>
      <c r="F106" s="23" t="n"/>
      <c r="G106" s="23" t="n"/>
      <c r="H106" s="23" t="n"/>
    </row>
    <row r="107">
      <c r="A107" s="82" t="n"/>
      <c r="B107" s="23" t="n"/>
      <c r="C107" s="23" t="n"/>
      <c r="D107" s="23" t="n"/>
      <c r="E107" s="83" t="n"/>
      <c r="F107" s="23" t="n"/>
      <c r="G107" s="23" t="n"/>
      <c r="H107" s="23" t="n"/>
    </row>
    <row r="108">
      <c r="A108" s="82" t="n"/>
      <c r="B108" s="23" t="n"/>
      <c r="C108" s="23" t="n"/>
      <c r="D108" s="23" t="n"/>
      <c r="E108" s="83" t="n"/>
      <c r="F108" s="23" t="n"/>
      <c r="G108" s="23" t="n"/>
      <c r="H108" s="23" t="n"/>
    </row>
    <row r="109">
      <c r="A109" s="82" t="n"/>
      <c r="B109" s="23" t="n"/>
      <c r="C109" s="23" t="n"/>
      <c r="D109" s="23" t="n"/>
      <c r="E109" s="83" t="n"/>
      <c r="F109" s="23" t="n"/>
      <c r="G109" s="23" t="n"/>
      <c r="H109" s="23" t="n"/>
    </row>
    <row r="110">
      <c r="A110" s="82" t="n"/>
      <c r="B110" s="23" t="n"/>
      <c r="C110" s="23" t="n"/>
      <c r="D110" s="23" t="n"/>
      <c r="E110" s="83" t="n"/>
      <c r="F110" s="23" t="n"/>
      <c r="G110" s="23" t="n"/>
      <c r="H110" s="23" t="n"/>
    </row>
    <row r="111">
      <c r="A111" s="82" t="n"/>
      <c r="B111" s="23" t="n"/>
      <c r="C111" s="23" t="n"/>
      <c r="D111" s="23" t="n"/>
      <c r="E111" s="83" t="n"/>
      <c r="F111" s="23" t="n"/>
      <c r="G111" s="23" t="n"/>
      <c r="H111" s="23" t="n"/>
    </row>
    <row r="112">
      <c r="A112" s="82" t="n"/>
      <c r="B112" s="23" t="n"/>
      <c r="C112" s="23" t="n"/>
      <c r="D112" s="23" t="n"/>
      <c r="E112" s="83" t="n"/>
      <c r="F112" s="23" t="n"/>
      <c r="G112" s="23" t="n"/>
      <c r="H112" s="23" t="n"/>
    </row>
    <row r="113">
      <c r="A113" s="82" t="n"/>
      <c r="B113" s="23" t="n"/>
      <c r="C113" s="23" t="n"/>
      <c r="D113" s="23" t="n"/>
      <c r="E113" s="83" t="n"/>
      <c r="F113" s="23" t="n"/>
      <c r="G113" s="23" t="n"/>
      <c r="H113" s="23" t="n"/>
    </row>
    <row r="114">
      <c r="A114" s="82" t="n"/>
      <c r="B114" s="23" t="n"/>
      <c r="C114" s="23" t="n"/>
      <c r="D114" s="23" t="n"/>
      <c r="E114" s="83" t="n"/>
      <c r="F114" s="23" t="n"/>
      <c r="G114" s="23" t="n"/>
      <c r="H114" s="23" t="n"/>
    </row>
    <row r="115">
      <c r="A115" s="82" t="n"/>
      <c r="B115" s="23" t="n"/>
      <c r="C115" s="23" t="n"/>
      <c r="D115" s="23" t="n"/>
      <c r="E115" s="83" t="n"/>
      <c r="F115" s="23" t="n"/>
      <c r="G115" s="23" t="n"/>
      <c r="H115" s="23" t="n"/>
    </row>
    <row r="116">
      <c r="A116" s="82" t="n"/>
      <c r="B116" s="23" t="n"/>
      <c r="C116" s="23" t="n"/>
      <c r="D116" s="23" t="n"/>
      <c r="E116" s="83" t="n"/>
      <c r="F116" s="23" t="n"/>
      <c r="G116" s="23" t="n"/>
      <c r="H116" s="23" t="n"/>
    </row>
    <row r="117">
      <c r="A117" s="82" t="n"/>
      <c r="B117" s="23" t="n"/>
      <c r="C117" s="23" t="n"/>
      <c r="D117" s="23" t="n"/>
      <c r="E117" s="83" t="n"/>
      <c r="F117" s="23" t="n"/>
      <c r="G117" s="23" t="n"/>
      <c r="H117" s="23" t="n"/>
    </row>
    <row r="118">
      <c r="A118" s="82" t="n"/>
      <c r="B118" s="23" t="n"/>
      <c r="C118" s="23" t="n"/>
      <c r="D118" s="23" t="n"/>
      <c r="E118" s="83" t="n"/>
      <c r="F118" s="23" t="n"/>
      <c r="G118" s="23" t="n"/>
      <c r="H118" s="23" t="n"/>
    </row>
    <row r="119">
      <c r="A119" s="82" t="n"/>
      <c r="B119" s="23" t="n"/>
      <c r="C119" s="23" t="n"/>
      <c r="D119" s="23" t="n"/>
      <c r="E119" s="83" t="n"/>
      <c r="F119" s="23" t="n"/>
      <c r="G119" s="23" t="n"/>
      <c r="H119" s="23" t="n"/>
    </row>
    <row r="120">
      <c r="A120" s="82" t="n"/>
      <c r="B120" s="23" t="n"/>
      <c r="C120" s="23" t="n"/>
      <c r="D120" s="23" t="n"/>
      <c r="E120" s="83" t="n"/>
      <c r="F120" s="23" t="n"/>
      <c r="G120" s="23" t="n"/>
      <c r="H120" s="23" t="n"/>
    </row>
    <row r="121">
      <c r="A121" s="82" t="n"/>
      <c r="B121" s="23" t="n"/>
      <c r="C121" s="23" t="n"/>
      <c r="D121" s="23" t="n"/>
      <c r="E121" s="83" t="n"/>
      <c r="F121" s="23" t="n"/>
      <c r="G121" s="23" t="n"/>
      <c r="H121" s="23" t="n"/>
    </row>
    <row r="122">
      <c r="A122" s="82" t="n"/>
      <c r="B122" s="23" t="n"/>
      <c r="C122" s="23" t="n"/>
      <c r="D122" s="23" t="n"/>
      <c r="E122" s="83" t="n"/>
      <c r="F122" s="23" t="n"/>
      <c r="G122" s="23" t="n"/>
      <c r="H122" s="23" t="n"/>
    </row>
    <row r="123">
      <c r="A123" s="82" t="n"/>
      <c r="B123" s="23" t="n"/>
      <c r="C123" s="23" t="n"/>
      <c r="D123" s="23" t="n"/>
      <c r="E123" s="83" t="n"/>
      <c r="F123" s="23" t="n"/>
      <c r="G123" s="23" t="n"/>
      <c r="H123" s="23" t="n"/>
    </row>
    <row r="124">
      <c r="A124" s="82" t="n"/>
      <c r="B124" s="23" t="n"/>
      <c r="C124" s="23" t="n"/>
      <c r="D124" s="23" t="n"/>
      <c r="E124" s="83" t="n"/>
      <c r="F124" s="23" t="n"/>
      <c r="G124" s="23" t="n"/>
      <c r="H124" s="23" t="n"/>
    </row>
    <row r="125">
      <c r="A125" s="82" t="n"/>
      <c r="B125" s="23" t="n"/>
      <c r="C125" s="23" t="n"/>
      <c r="D125" s="23" t="n"/>
      <c r="E125" s="83" t="n"/>
      <c r="F125" s="23" t="n"/>
      <c r="G125" s="23" t="n"/>
      <c r="H125" s="23" t="n"/>
    </row>
    <row r="126">
      <c r="A126" s="82" t="n"/>
      <c r="B126" s="23" t="n"/>
      <c r="C126" s="23" t="n"/>
      <c r="D126" s="23" t="n"/>
      <c r="E126" s="83" t="n"/>
      <c r="F126" s="23" t="n"/>
      <c r="G126" s="23" t="n"/>
      <c r="H126" s="23" t="n"/>
    </row>
    <row r="127">
      <c r="A127" s="82" t="n"/>
      <c r="B127" s="23" t="n"/>
      <c r="C127" s="23" t="n"/>
      <c r="D127" s="23" t="n"/>
      <c r="E127" s="83" t="n"/>
      <c r="F127" s="23" t="n"/>
      <c r="G127" s="23" t="n"/>
      <c r="H127" s="23" t="n"/>
    </row>
    <row r="128">
      <c r="A128" s="82" t="n"/>
      <c r="B128" s="23" t="n"/>
      <c r="C128" s="23" t="n"/>
      <c r="D128" s="23" t="n"/>
      <c r="E128" s="83" t="n"/>
      <c r="F128" s="23" t="n"/>
      <c r="G128" s="23" t="n"/>
      <c r="H128" s="23" t="n"/>
    </row>
    <row r="129">
      <c r="A129" s="82" t="n"/>
      <c r="B129" s="23" t="n"/>
      <c r="C129" s="23" t="n"/>
      <c r="D129" s="23" t="n"/>
      <c r="E129" s="83" t="n"/>
      <c r="F129" s="23" t="n"/>
      <c r="G129" s="23" t="n"/>
      <c r="H129" s="23" t="n"/>
    </row>
    <row r="130">
      <c r="A130" s="82" t="n"/>
      <c r="B130" s="23" t="n"/>
      <c r="C130" s="23" t="n"/>
      <c r="D130" s="23" t="n"/>
      <c r="E130" s="83" t="n"/>
      <c r="F130" s="23" t="n"/>
      <c r="G130" s="23" t="n"/>
      <c r="H130" s="23" t="n"/>
    </row>
    <row r="131">
      <c r="A131" s="82" t="n"/>
      <c r="B131" s="23" t="n"/>
      <c r="C131" s="23" t="n"/>
      <c r="D131" s="23" t="n"/>
      <c r="E131" s="83" t="n"/>
      <c r="F131" s="23" t="n"/>
      <c r="G131" s="23" t="n"/>
      <c r="H131" s="23" t="n"/>
    </row>
    <row r="132">
      <c r="A132" s="82" t="n"/>
      <c r="B132" s="23" t="n"/>
      <c r="C132" s="23" t="n"/>
      <c r="D132" s="23" t="n"/>
      <c r="E132" s="83" t="n"/>
      <c r="F132" s="23" t="n"/>
      <c r="G132" s="23" t="n"/>
      <c r="H132" s="23" t="n"/>
    </row>
    <row r="133">
      <c r="A133" s="82" t="n"/>
      <c r="B133" s="23" t="n"/>
      <c r="C133" s="23" t="n"/>
      <c r="D133" s="23" t="n"/>
      <c r="E133" s="83" t="n"/>
      <c r="F133" s="23" t="n"/>
      <c r="G133" s="23" t="n"/>
      <c r="H133" s="23" t="n"/>
    </row>
    <row r="134">
      <c r="A134" s="82" t="n"/>
      <c r="B134" s="23" t="n"/>
      <c r="C134" s="23" t="n"/>
      <c r="D134" s="23" t="n"/>
      <c r="E134" s="83" t="n"/>
      <c r="F134" s="23" t="n"/>
      <c r="G134" s="23" t="n"/>
      <c r="H134" s="23" t="n"/>
    </row>
    <row r="135">
      <c r="A135" s="82" t="n"/>
      <c r="B135" s="23" t="n"/>
      <c r="C135" s="23" t="n"/>
      <c r="D135" s="23" t="n"/>
      <c r="E135" s="83" t="n"/>
      <c r="F135" s="23" t="n"/>
      <c r="G135" s="23" t="n"/>
      <c r="H135" s="23" t="n"/>
    </row>
    <row r="136">
      <c r="A136" s="82" t="n"/>
      <c r="B136" s="23" t="n"/>
      <c r="C136" s="23" t="n"/>
      <c r="D136" s="23" t="n"/>
      <c r="E136" s="83" t="n"/>
      <c r="F136" s="23" t="n"/>
      <c r="G136" s="23" t="n"/>
      <c r="H136" s="23" t="n"/>
    </row>
    <row r="137">
      <c r="A137" s="82" t="n"/>
      <c r="B137" s="23" t="n"/>
      <c r="C137" s="23" t="n"/>
      <c r="D137" s="23" t="n"/>
      <c r="E137" s="83" t="n"/>
      <c r="F137" s="23" t="n"/>
      <c r="G137" s="23" t="n"/>
      <c r="H137" s="23" t="n"/>
    </row>
    <row r="138">
      <c r="A138" s="82" t="n"/>
      <c r="B138" s="23" t="n"/>
      <c r="C138" s="23" t="n"/>
      <c r="D138" s="23" t="n"/>
      <c r="E138" s="83" t="n"/>
      <c r="F138" s="23" t="n"/>
      <c r="G138" s="23" t="n"/>
      <c r="H138" s="23" t="n"/>
    </row>
    <row r="139">
      <c r="A139" s="82" t="n"/>
      <c r="B139" s="23" t="n"/>
      <c r="C139" s="23" t="n"/>
      <c r="D139" s="23" t="n"/>
      <c r="E139" s="83" t="n"/>
      <c r="F139" s="23" t="n"/>
      <c r="G139" s="23" t="n"/>
      <c r="H139" s="23" t="n"/>
    </row>
    <row r="140">
      <c r="A140" s="82" t="n"/>
      <c r="B140" s="23" t="n"/>
      <c r="C140" s="23" t="n"/>
      <c r="D140" s="23" t="n"/>
      <c r="E140" s="83" t="n"/>
      <c r="F140" s="23" t="n"/>
      <c r="G140" s="23" t="n"/>
      <c r="H140" s="23" t="n"/>
    </row>
    <row r="141">
      <c r="A141" s="82" t="n"/>
      <c r="B141" s="23" t="n"/>
      <c r="C141" s="23" t="n"/>
      <c r="D141" s="23" t="n"/>
      <c r="E141" s="83" t="n"/>
      <c r="F141" s="23" t="n"/>
      <c r="G141" s="23" t="n"/>
      <c r="H141" s="23" t="n"/>
    </row>
    <row r="142">
      <c r="A142" s="82" t="n"/>
      <c r="B142" s="23" t="n"/>
      <c r="C142" s="23" t="n"/>
      <c r="D142" s="23" t="n"/>
      <c r="E142" s="83" t="n"/>
      <c r="F142" s="23" t="n"/>
      <c r="G142" s="23" t="n"/>
      <c r="H142" s="23" t="n"/>
    </row>
    <row r="143">
      <c r="A143" s="82" t="n"/>
      <c r="B143" s="23" t="n"/>
      <c r="C143" s="23" t="n"/>
      <c r="D143" s="23" t="n"/>
      <c r="E143" s="83" t="n"/>
      <c r="F143" s="23" t="n"/>
      <c r="G143" s="23" t="n"/>
      <c r="H143" s="23" t="n"/>
    </row>
    <row r="144">
      <c r="A144" s="82" t="n"/>
      <c r="B144" s="23" t="n"/>
      <c r="C144" s="23" t="n"/>
      <c r="D144" s="23" t="n"/>
      <c r="E144" s="83" t="n"/>
      <c r="F144" s="23" t="n"/>
      <c r="G144" s="23" t="n"/>
      <c r="H144" s="23" t="n"/>
    </row>
    <row r="145">
      <c r="A145" s="82" t="n"/>
      <c r="B145" s="23" t="n"/>
      <c r="C145" s="23" t="n"/>
      <c r="D145" s="23" t="n"/>
      <c r="E145" s="83" t="n"/>
      <c r="F145" s="23" t="n"/>
      <c r="G145" s="23" t="n"/>
      <c r="H145" s="23" t="n"/>
    </row>
    <row r="146">
      <c r="A146" s="82" t="n"/>
      <c r="B146" s="23" t="n"/>
      <c r="C146" s="23" t="n"/>
      <c r="D146" s="23" t="n"/>
      <c r="E146" s="83" t="n"/>
      <c r="F146" s="23" t="n"/>
      <c r="G146" s="23" t="n"/>
      <c r="H146" s="23" t="n"/>
    </row>
    <row r="147">
      <c r="A147" s="82" t="n"/>
      <c r="B147" s="23" t="n"/>
      <c r="C147" s="23" t="n"/>
      <c r="D147" s="23" t="n"/>
      <c r="E147" s="83" t="n"/>
      <c r="F147" s="23" t="n"/>
      <c r="G147" s="23" t="n"/>
      <c r="H147" s="23" t="n"/>
    </row>
    <row r="148">
      <c r="A148" s="82" t="n"/>
      <c r="B148" s="23" t="n"/>
      <c r="C148" s="23" t="n"/>
      <c r="D148" s="23" t="n"/>
      <c r="E148" s="83" t="n"/>
      <c r="F148" s="23" t="n"/>
      <c r="G148" s="23" t="n"/>
      <c r="H148" s="23" t="n"/>
    </row>
    <row r="149">
      <c r="A149" s="82" t="n"/>
      <c r="B149" s="23" t="n"/>
      <c r="C149" s="23" t="n"/>
      <c r="D149" s="23" t="n"/>
      <c r="E149" s="83" t="n"/>
      <c r="F149" s="23" t="n"/>
      <c r="G149" s="23" t="n"/>
      <c r="H149" s="23" t="n"/>
    </row>
    <row r="150">
      <c r="A150" s="82" t="n"/>
      <c r="B150" s="23" t="n"/>
      <c r="C150" s="23" t="n"/>
      <c r="D150" s="23" t="n"/>
      <c r="E150" s="83" t="n"/>
      <c r="F150" s="23" t="n"/>
      <c r="G150" s="23" t="n"/>
      <c r="H150" s="23" t="n"/>
    </row>
    <row r="151">
      <c r="A151" s="82" t="n"/>
      <c r="B151" s="23" t="n"/>
      <c r="C151" s="23" t="n"/>
      <c r="D151" s="23" t="n"/>
      <c r="E151" s="83" t="n"/>
      <c r="F151" s="23" t="n"/>
      <c r="G151" s="23" t="n"/>
      <c r="H151" s="23" t="n"/>
    </row>
    <row r="152">
      <c r="A152" s="82" t="n"/>
      <c r="B152" s="23" t="n"/>
      <c r="C152" s="23" t="n"/>
      <c r="D152" s="23" t="n"/>
      <c r="E152" s="83" t="n"/>
      <c r="F152" s="23" t="n"/>
      <c r="G152" s="23" t="n"/>
      <c r="H152" s="23" t="n"/>
    </row>
    <row r="153">
      <c r="A153" s="82" t="n"/>
      <c r="B153" s="23" t="n"/>
      <c r="C153" s="23" t="n"/>
      <c r="D153" s="23" t="n"/>
      <c r="E153" s="83" t="n"/>
      <c r="F153" s="23" t="n"/>
      <c r="G153" s="23" t="n"/>
      <c r="H153" s="23" t="n"/>
    </row>
    <row r="154">
      <c r="A154" s="82" t="n"/>
      <c r="B154" s="23" t="n"/>
      <c r="C154" s="23" t="n"/>
      <c r="D154" s="23" t="n"/>
      <c r="E154" s="83" t="n"/>
      <c r="F154" s="23" t="n"/>
      <c r="G154" s="23" t="n"/>
      <c r="H154" s="23" t="n"/>
    </row>
    <row r="155">
      <c r="A155" s="82" t="n"/>
      <c r="B155" s="23" t="n"/>
      <c r="C155" s="23" t="n"/>
      <c r="D155" s="23" t="n"/>
      <c r="E155" s="83" t="n"/>
      <c r="F155" s="23" t="n"/>
      <c r="G155" s="23" t="n"/>
      <c r="H155" s="23" t="n"/>
    </row>
    <row r="156">
      <c r="A156" s="82" t="n"/>
      <c r="B156" s="23" t="n"/>
      <c r="C156" s="23" t="n"/>
      <c r="D156" s="23" t="n"/>
      <c r="E156" s="83" t="n"/>
      <c r="F156" s="23" t="n"/>
      <c r="G156" s="23" t="n"/>
      <c r="H156" s="23" t="n"/>
    </row>
    <row r="157">
      <c r="A157" s="82" t="n"/>
      <c r="B157" s="23" t="n"/>
      <c r="C157" s="23" t="n"/>
      <c r="D157" s="23" t="n"/>
      <c r="E157" s="83" t="n"/>
      <c r="F157" s="23" t="n"/>
      <c r="G157" s="23" t="n"/>
      <c r="H157" s="23" t="n"/>
    </row>
    <row r="158">
      <c r="A158" s="82" t="n"/>
      <c r="B158" s="23" t="n"/>
      <c r="C158" s="23" t="n"/>
      <c r="D158" s="23" t="n"/>
      <c r="E158" s="83" t="n"/>
      <c r="F158" s="23" t="n"/>
      <c r="G158" s="23" t="n"/>
      <c r="H158" s="23" t="n"/>
    </row>
    <row r="159">
      <c r="A159" s="82" t="n"/>
      <c r="B159" s="23" t="n"/>
      <c r="C159" s="23" t="n"/>
      <c r="D159" s="23" t="n"/>
      <c r="E159" s="83" t="n"/>
      <c r="F159" s="23" t="n"/>
      <c r="G159" s="23" t="n"/>
      <c r="H159" s="23" t="n"/>
    </row>
    <row r="160">
      <c r="A160" s="82" t="n"/>
      <c r="B160" s="23" t="n"/>
      <c r="C160" s="23" t="n"/>
      <c r="D160" s="23" t="n"/>
      <c r="E160" s="83" t="n"/>
      <c r="F160" s="23" t="n"/>
      <c r="G160" s="23" t="n"/>
      <c r="H160" s="23" t="n"/>
    </row>
    <row r="161">
      <c r="A161" s="82" t="n"/>
      <c r="B161" s="23" t="n"/>
      <c r="C161" s="23" t="n"/>
      <c r="D161" s="23" t="n"/>
      <c r="E161" s="83" t="n"/>
      <c r="F161" s="23" t="n"/>
      <c r="G161" s="23" t="n"/>
      <c r="H161" s="23" t="n"/>
    </row>
    <row r="162">
      <c r="A162" s="82" t="n"/>
      <c r="B162" s="23" t="n"/>
      <c r="C162" s="23" t="n"/>
      <c r="D162" s="23" t="n"/>
      <c r="E162" s="83" t="n"/>
      <c r="F162" s="23" t="n"/>
      <c r="G162" s="23" t="n"/>
      <c r="H162" s="23" t="n"/>
    </row>
    <row r="163">
      <c r="A163" s="82" t="n"/>
      <c r="B163" s="23" t="n"/>
      <c r="C163" s="23" t="n"/>
      <c r="D163" s="23" t="n"/>
      <c r="E163" s="83" t="n"/>
      <c r="F163" s="23" t="n"/>
      <c r="G163" s="23" t="n"/>
      <c r="H163" s="23" t="n"/>
    </row>
    <row r="164">
      <c r="A164" s="82" t="n"/>
      <c r="B164" s="23" t="n"/>
      <c r="C164" s="23" t="n"/>
      <c r="D164" s="23" t="n"/>
      <c r="E164" s="83" t="n"/>
      <c r="F164" s="23" t="n"/>
      <c r="G164" s="23" t="n"/>
      <c r="H164" s="23" t="n"/>
    </row>
    <row r="165">
      <c r="A165" s="82" t="n"/>
      <c r="B165" s="23" t="n"/>
      <c r="C165" s="23" t="n"/>
      <c r="D165" s="23" t="n"/>
      <c r="E165" s="83" t="n"/>
      <c r="F165" s="23" t="n"/>
      <c r="G165" s="23" t="n"/>
      <c r="H165" s="23" t="n"/>
    </row>
    <row r="166">
      <c r="A166" s="82" t="n"/>
      <c r="B166" s="23" t="n"/>
      <c r="C166" s="23" t="n"/>
      <c r="D166" s="23" t="n"/>
      <c r="E166" s="83" t="n"/>
      <c r="F166" s="23" t="n"/>
      <c r="G166" s="23" t="n"/>
      <c r="H166" s="23" t="n"/>
    </row>
    <row r="167">
      <c r="A167" s="82" t="n"/>
      <c r="B167" s="23" t="n"/>
      <c r="C167" s="23" t="n"/>
      <c r="D167" s="23" t="n"/>
      <c r="E167" s="83" t="n"/>
      <c r="F167" s="23" t="n"/>
      <c r="G167" s="23" t="n"/>
      <c r="H167" s="23" t="n"/>
    </row>
    <row r="168">
      <c r="A168" s="82" t="n"/>
      <c r="B168" s="23" t="n"/>
      <c r="C168" s="23" t="n"/>
      <c r="D168" s="23" t="n"/>
      <c r="E168" s="83" t="n"/>
      <c r="F168" s="23" t="n"/>
      <c r="G168" s="23" t="n"/>
      <c r="H168" s="23" t="n"/>
    </row>
    <row r="169">
      <c r="A169" s="82" t="n"/>
      <c r="B169" s="23" t="n"/>
      <c r="C169" s="23" t="n"/>
      <c r="D169" s="23" t="n"/>
      <c r="E169" s="83" t="n"/>
      <c r="F169" s="23" t="n"/>
      <c r="G169" s="23" t="n"/>
      <c r="H169" s="23" t="n"/>
    </row>
    <row r="170">
      <c r="A170" s="82" t="n"/>
      <c r="B170" s="23" t="n"/>
      <c r="C170" s="23" t="n"/>
      <c r="D170" s="23" t="n"/>
      <c r="E170" s="83" t="n"/>
      <c r="F170" s="23" t="n"/>
      <c r="G170" s="23" t="n"/>
      <c r="H170" s="23" t="n"/>
    </row>
    <row r="171">
      <c r="A171" s="82" t="n"/>
      <c r="B171" s="23" t="n"/>
      <c r="C171" s="23" t="n"/>
      <c r="D171" s="23" t="n"/>
      <c r="E171" s="83" t="n"/>
      <c r="F171" s="23" t="n"/>
      <c r="G171" s="23" t="n"/>
      <c r="H171" s="23" t="n"/>
    </row>
    <row r="172">
      <c r="A172" s="82" t="n"/>
      <c r="B172" s="23" t="n"/>
      <c r="C172" s="23" t="n"/>
      <c r="D172" s="23" t="n"/>
      <c r="E172" s="83" t="n"/>
      <c r="F172" s="23" t="n"/>
      <c r="G172" s="23" t="n"/>
      <c r="H172" s="23" t="n"/>
    </row>
    <row r="173">
      <c r="A173" s="82" t="n"/>
      <c r="B173" s="23" t="n"/>
      <c r="C173" s="23" t="n"/>
      <c r="D173" s="23" t="n"/>
      <c r="E173" s="83" t="n"/>
      <c r="F173" s="23" t="n"/>
      <c r="G173" s="23" t="n"/>
      <c r="H173" s="23" t="n"/>
    </row>
    <row r="174">
      <c r="A174" s="82" t="n"/>
      <c r="B174" s="23" t="n"/>
      <c r="C174" s="23" t="n"/>
      <c r="D174" s="23" t="n"/>
      <c r="E174" s="83" t="n"/>
      <c r="F174" s="23" t="n"/>
      <c r="G174" s="23" t="n"/>
      <c r="H174" s="23" t="n"/>
    </row>
    <row r="175">
      <c r="A175" s="82" t="n"/>
      <c r="B175" s="23" t="n"/>
      <c r="C175" s="23" t="n"/>
      <c r="D175" s="23" t="n"/>
      <c r="E175" s="83" t="n"/>
      <c r="F175" s="23" t="n"/>
      <c r="G175" s="23" t="n"/>
      <c r="H175" s="23" t="n"/>
    </row>
    <row r="176">
      <c r="A176" s="82" t="n"/>
      <c r="B176" s="23" t="n"/>
      <c r="C176" s="23" t="n"/>
      <c r="D176" s="23" t="n"/>
      <c r="E176" s="83" t="n"/>
      <c r="F176" s="23" t="n"/>
      <c r="G176" s="23" t="n"/>
      <c r="H176" s="23" t="n"/>
    </row>
    <row r="177">
      <c r="A177" s="82" t="n"/>
      <c r="B177" s="23" t="n"/>
      <c r="C177" s="23" t="n"/>
      <c r="D177" s="23" t="n"/>
      <c r="E177" s="83" t="n"/>
      <c r="F177" s="23" t="n"/>
      <c r="G177" s="23" t="n"/>
      <c r="H177" s="23" t="n"/>
    </row>
    <row r="178">
      <c r="A178" s="82" t="n"/>
      <c r="B178" s="23" t="n"/>
      <c r="C178" s="23" t="n"/>
      <c r="D178" s="23" t="n"/>
      <c r="E178" s="83" t="n"/>
      <c r="F178" s="23" t="n"/>
      <c r="G178" s="23" t="n"/>
      <c r="H178" s="23" t="n"/>
    </row>
    <row r="179">
      <c r="A179" s="82" t="n"/>
      <c r="B179" s="23" t="n"/>
      <c r="C179" s="23" t="n"/>
      <c r="D179" s="23" t="n"/>
      <c r="E179" s="83" t="n"/>
      <c r="F179" s="23" t="n"/>
      <c r="G179" s="23" t="n"/>
      <c r="H179" s="23" t="n"/>
    </row>
    <row r="180">
      <c r="A180" s="82" t="n"/>
      <c r="B180" s="23" t="n"/>
      <c r="C180" s="23" t="n"/>
      <c r="D180" s="23" t="n"/>
      <c r="E180" s="83" t="n"/>
      <c r="F180" s="23" t="n"/>
      <c r="G180" s="23" t="n"/>
      <c r="H180" s="23" t="n"/>
    </row>
    <row r="181">
      <c r="A181" s="82" t="n"/>
      <c r="B181" s="23" t="n"/>
      <c r="C181" s="23" t="n"/>
      <c r="D181" s="23" t="n"/>
      <c r="E181" s="83" t="n"/>
      <c r="F181" s="23" t="n"/>
      <c r="G181" s="23" t="n"/>
      <c r="H181" s="23" t="n"/>
    </row>
    <row r="182">
      <c r="A182" s="82" t="n"/>
      <c r="B182" s="23" t="n"/>
      <c r="C182" s="23" t="n"/>
      <c r="D182" s="23" t="n"/>
      <c r="E182" s="83" t="n"/>
      <c r="F182" s="23" t="n"/>
      <c r="G182" s="23" t="n"/>
      <c r="H182" s="23" t="n"/>
    </row>
    <row r="183">
      <c r="A183" s="82" t="n"/>
      <c r="B183" s="23" t="n"/>
      <c r="C183" s="23" t="n"/>
      <c r="D183" s="23" t="n"/>
      <c r="E183" s="83" t="n"/>
      <c r="F183" s="23" t="n"/>
      <c r="G183" s="23" t="n"/>
      <c r="H183" s="23" t="n"/>
    </row>
    <row r="184">
      <c r="A184" s="82" t="n"/>
      <c r="B184" s="23" t="n"/>
      <c r="C184" s="23" t="n"/>
      <c r="D184" s="23" t="n"/>
      <c r="E184" s="83" t="n"/>
      <c r="F184" s="23" t="n"/>
      <c r="G184" s="23" t="n"/>
      <c r="H184" s="23" t="n"/>
    </row>
    <row r="185">
      <c r="A185" s="82" t="n"/>
      <c r="B185" s="23" t="n"/>
      <c r="C185" s="23" t="n"/>
      <c r="D185" s="23" t="n"/>
      <c r="E185" s="83" t="n"/>
      <c r="F185" s="23" t="n"/>
      <c r="G185" s="23" t="n"/>
      <c r="H185" s="23" t="n"/>
    </row>
    <row r="186">
      <c r="A186" s="82" t="n"/>
      <c r="B186" s="23" t="n"/>
      <c r="C186" s="23" t="n"/>
      <c r="D186" s="23" t="n"/>
      <c r="E186" s="83" t="n"/>
      <c r="F186" s="23" t="n"/>
      <c r="G186" s="23" t="n"/>
      <c r="H186" s="23" t="n"/>
    </row>
    <row r="187">
      <c r="A187" s="82" t="n"/>
      <c r="B187" s="23" t="n"/>
      <c r="C187" s="23" t="n"/>
      <c r="D187" s="23" t="n"/>
      <c r="E187" s="83" t="n"/>
      <c r="F187" s="23" t="n"/>
      <c r="G187" s="23" t="n"/>
      <c r="H187" s="23" t="n"/>
    </row>
    <row r="188">
      <c r="A188" s="82" t="n"/>
      <c r="B188" s="23" t="n"/>
      <c r="C188" s="23" t="n"/>
      <c r="D188" s="23" t="n"/>
      <c r="E188" s="83" t="n"/>
      <c r="F188" s="23" t="n"/>
      <c r="G188" s="23" t="n"/>
      <c r="H188" s="23" t="n"/>
    </row>
    <row r="189">
      <c r="A189" s="82" t="n"/>
      <c r="B189" s="23" t="n"/>
      <c r="C189" s="23" t="n"/>
      <c r="D189" s="23" t="n"/>
      <c r="E189" s="83" t="n"/>
      <c r="F189" s="23" t="n"/>
      <c r="G189" s="23" t="n"/>
      <c r="H189" s="23" t="n"/>
    </row>
    <row r="190">
      <c r="A190" s="82" t="n"/>
      <c r="B190" s="23" t="n"/>
      <c r="C190" s="23" t="n"/>
      <c r="D190" s="23" t="n"/>
      <c r="E190" s="83" t="n"/>
      <c r="F190" s="23" t="n"/>
      <c r="G190" s="23" t="n"/>
      <c r="H190" s="23" t="n"/>
    </row>
    <row r="191">
      <c r="A191" s="82" t="n"/>
      <c r="B191" s="23" t="n"/>
      <c r="C191" s="23" t="n"/>
      <c r="D191" s="23" t="n"/>
      <c r="E191" s="83" t="n"/>
      <c r="F191" s="23" t="n"/>
      <c r="G191" s="23" t="n"/>
      <c r="H191" s="23" t="n"/>
    </row>
    <row r="192">
      <c r="A192" s="82" t="n"/>
      <c r="B192" s="23" t="n"/>
      <c r="C192" s="23" t="n"/>
      <c r="D192" s="23" t="n"/>
      <c r="E192" s="83" t="n"/>
      <c r="F192" s="23" t="n"/>
      <c r="G192" s="23" t="n"/>
      <c r="H192" s="23" t="n"/>
    </row>
    <row r="193">
      <c r="A193" s="82" t="n"/>
      <c r="B193" s="23" t="n"/>
      <c r="C193" s="23" t="n"/>
      <c r="D193" s="23" t="n"/>
      <c r="E193" s="83" t="n"/>
      <c r="F193" s="23" t="n"/>
      <c r="G193" s="23" t="n"/>
      <c r="H193" s="23" t="n"/>
    </row>
    <row r="194">
      <c r="A194" s="82" t="n"/>
      <c r="B194" s="23" t="n"/>
      <c r="C194" s="23" t="n"/>
      <c r="D194" s="23" t="n"/>
      <c r="E194" s="83" t="n"/>
      <c r="F194" s="23" t="n"/>
      <c r="G194" s="23" t="n"/>
      <c r="H194" s="23" t="n"/>
    </row>
    <row r="195">
      <c r="A195" s="82" t="n"/>
      <c r="B195" s="23" t="n"/>
      <c r="C195" s="23" t="n"/>
      <c r="D195" s="23" t="n"/>
      <c r="E195" s="83" t="n"/>
      <c r="F195" s="23" t="n"/>
      <c r="G195" s="23" t="n"/>
      <c r="H195" s="23" t="n"/>
    </row>
    <row r="196">
      <c r="A196" s="82" t="n"/>
      <c r="B196" s="23" t="n"/>
      <c r="C196" s="23" t="n"/>
      <c r="D196" s="23" t="n"/>
      <c r="E196" s="83" t="n"/>
      <c r="F196" s="23" t="n"/>
      <c r="G196" s="23" t="n"/>
      <c r="H196" s="23" t="n"/>
    </row>
    <row r="197">
      <c r="A197" s="82" t="n"/>
      <c r="B197" s="23" t="n"/>
      <c r="C197" s="23" t="n"/>
      <c r="D197" s="23" t="n"/>
      <c r="E197" s="83" t="n"/>
      <c r="F197" s="23" t="n"/>
      <c r="G197" s="23" t="n"/>
      <c r="H197" s="23" t="n"/>
    </row>
    <row r="198">
      <c r="A198" s="82" t="n"/>
      <c r="B198" s="23" t="n"/>
      <c r="C198" s="23" t="n"/>
      <c r="D198" s="23" t="n"/>
      <c r="E198" s="83" t="n"/>
      <c r="F198" s="23" t="n"/>
      <c r="G198" s="23" t="n"/>
      <c r="H198" s="23" t="n"/>
    </row>
    <row r="199">
      <c r="A199" s="82" t="n"/>
      <c r="B199" s="23" t="n"/>
      <c r="C199" s="23" t="n"/>
      <c r="D199" s="23" t="n"/>
      <c r="E199" s="83" t="n"/>
      <c r="F199" s="23" t="n"/>
      <c r="G199" s="23" t="n"/>
      <c r="H199" s="23" t="n"/>
    </row>
    <row r="200">
      <c r="A200" s="82" t="n"/>
      <c r="B200" s="23" t="n"/>
      <c r="C200" s="23" t="n"/>
      <c r="D200" s="23" t="n"/>
      <c r="E200" s="83" t="n"/>
      <c r="F200" s="23" t="n"/>
      <c r="G200" s="23" t="n"/>
      <c r="H200" s="23" t="n"/>
    </row>
    <row r="201">
      <c r="A201" s="82" t="n"/>
      <c r="B201" s="23" t="n"/>
      <c r="C201" s="23" t="n"/>
      <c r="D201" s="23" t="n"/>
      <c r="E201" s="83" t="n"/>
      <c r="F201" s="23" t="n"/>
      <c r="G201" s="23" t="n"/>
      <c r="H201" s="23" t="n"/>
    </row>
    <row r="202">
      <c r="A202" s="82" t="n"/>
      <c r="B202" s="23" t="n"/>
      <c r="C202" s="23" t="n"/>
      <c r="D202" s="23" t="n"/>
      <c r="E202" s="83" t="n"/>
      <c r="F202" s="23" t="n"/>
      <c r="G202" s="23" t="n"/>
      <c r="H202" s="23" t="n"/>
    </row>
    <row r="203">
      <c r="A203" s="82" t="n"/>
      <c r="B203" s="23" t="n"/>
      <c r="C203" s="23" t="n"/>
      <c r="D203" s="23" t="n"/>
      <c r="E203" s="83" t="n"/>
      <c r="F203" s="23" t="n"/>
      <c r="G203" s="23" t="n"/>
      <c r="H203" s="23" t="n"/>
    </row>
    <row r="204">
      <c r="A204" s="82" t="n"/>
      <c r="B204" s="23" t="n"/>
      <c r="C204" s="23" t="n"/>
      <c r="D204" s="23" t="n"/>
      <c r="E204" s="83" t="n"/>
      <c r="F204" s="23" t="n"/>
      <c r="G204" s="23" t="n"/>
      <c r="H204" s="23" t="n"/>
    </row>
    <row r="205">
      <c r="A205" s="82" t="n"/>
      <c r="B205" s="23" t="n"/>
      <c r="C205" s="23" t="n"/>
      <c r="D205" s="23" t="n"/>
      <c r="E205" s="83" t="n"/>
      <c r="F205" s="23" t="n"/>
      <c r="G205" s="23" t="n"/>
      <c r="H205" s="23" t="n"/>
    </row>
    <row r="206">
      <c r="A206" s="82" t="n"/>
      <c r="B206" s="23" t="n"/>
      <c r="C206" s="23" t="n"/>
      <c r="D206" s="23" t="n"/>
      <c r="E206" s="83" t="n"/>
      <c r="F206" s="23" t="n"/>
      <c r="G206" s="23" t="n"/>
      <c r="H206" s="23" t="n"/>
    </row>
    <row r="207">
      <c r="A207" s="82" t="n"/>
      <c r="B207" s="23" t="n"/>
      <c r="C207" s="23" t="n"/>
      <c r="D207" s="23" t="n"/>
      <c r="E207" s="83" t="n"/>
      <c r="F207" s="23" t="n"/>
      <c r="G207" s="23" t="n"/>
      <c r="H207" s="23" t="n"/>
    </row>
    <row r="208">
      <c r="A208" s="82" t="n"/>
      <c r="B208" s="23" t="n"/>
      <c r="C208" s="23" t="n"/>
      <c r="D208" s="23" t="n"/>
      <c r="E208" s="83" t="n"/>
      <c r="F208" s="23" t="n"/>
      <c r="G208" s="23" t="n"/>
      <c r="H208" s="23" t="n"/>
    </row>
    <row r="209">
      <c r="A209" s="82" t="n"/>
      <c r="B209" s="23" t="n"/>
      <c r="C209" s="23" t="n"/>
      <c r="D209" s="23" t="n"/>
      <c r="E209" s="83" t="n"/>
      <c r="F209" s="23" t="n"/>
      <c r="G209" s="23" t="n"/>
      <c r="H209" s="23" t="n"/>
    </row>
    <row r="210">
      <c r="A210" s="82" t="n"/>
      <c r="B210" s="23" t="n"/>
      <c r="C210" s="23" t="n"/>
      <c r="D210" s="23" t="n"/>
      <c r="E210" s="83" t="n"/>
      <c r="F210" s="23" t="n"/>
      <c r="G210" s="23" t="n"/>
      <c r="H210" s="23" t="n"/>
    </row>
    <row r="211">
      <c r="A211" s="82" t="n"/>
      <c r="B211" s="23" t="n"/>
      <c r="C211" s="23" t="n"/>
      <c r="D211" s="23" t="n"/>
      <c r="E211" s="83" t="n"/>
      <c r="F211" s="23" t="n"/>
      <c r="G211" s="23" t="n"/>
      <c r="H211" s="23" t="n"/>
    </row>
    <row r="212">
      <c r="A212" s="82" t="n"/>
      <c r="B212" s="23" t="n"/>
      <c r="C212" s="23" t="n"/>
      <c r="D212" s="23" t="n"/>
      <c r="E212" s="83" t="n"/>
      <c r="F212" s="23" t="n"/>
      <c r="G212" s="23" t="n"/>
      <c r="H212" s="23" t="n"/>
    </row>
    <row r="213">
      <c r="A213" s="82" t="n"/>
      <c r="B213" s="23" t="n"/>
      <c r="C213" s="23" t="n"/>
      <c r="D213" s="23" t="n"/>
      <c r="E213" s="83" t="n"/>
      <c r="F213" s="23" t="n"/>
      <c r="G213" s="23" t="n"/>
      <c r="H213" s="23" t="n"/>
    </row>
    <row r="214">
      <c r="A214" s="82" t="n"/>
      <c r="B214" s="23" t="n"/>
      <c r="C214" s="23" t="n"/>
      <c r="D214" s="23" t="n"/>
      <c r="E214" s="83" t="n"/>
      <c r="F214" s="23" t="n"/>
      <c r="G214" s="23" t="n"/>
      <c r="H214" s="23" t="n"/>
    </row>
    <row r="215">
      <c r="A215" s="82" t="n"/>
      <c r="B215" s="23" t="n"/>
      <c r="C215" s="23" t="n"/>
      <c r="D215" s="23" t="n"/>
      <c r="E215" s="83" t="n"/>
      <c r="F215" s="23" t="n"/>
      <c r="G215" s="23" t="n"/>
      <c r="H215" s="23" t="n"/>
    </row>
    <row r="216">
      <c r="A216" s="82" t="n"/>
      <c r="B216" s="23" t="n"/>
      <c r="C216" s="23" t="n"/>
      <c r="D216" s="23" t="n"/>
      <c r="E216" s="83" t="n"/>
      <c r="F216" s="23" t="n"/>
      <c r="G216" s="23" t="n"/>
      <c r="H216" s="23" t="n"/>
    </row>
    <row r="217">
      <c r="A217" s="82" t="n"/>
      <c r="B217" s="23" t="n"/>
      <c r="C217" s="23" t="n"/>
      <c r="D217" s="23" t="n"/>
      <c r="E217" s="83" t="n"/>
      <c r="F217" s="23" t="n"/>
      <c r="G217" s="23" t="n"/>
      <c r="H217" s="23" t="n"/>
    </row>
    <row r="218">
      <c r="A218" s="82" t="n"/>
      <c r="B218" s="23" t="n"/>
      <c r="C218" s="23" t="n"/>
      <c r="D218" s="23" t="n"/>
      <c r="E218" s="83" t="n"/>
      <c r="F218" s="23" t="n"/>
      <c r="G218" s="23" t="n"/>
      <c r="H218" s="23" t="n"/>
    </row>
    <row r="219">
      <c r="A219" s="82" t="n"/>
      <c r="B219" s="23" t="n"/>
      <c r="C219" s="23" t="n"/>
      <c r="D219" s="23" t="n"/>
      <c r="E219" s="83" t="n"/>
      <c r="F219" s="23" t="n"/>
      <c r="G219" s="23" t="n"/>
      <c r="H219" s="23" t="n"/>
    </row>
    <row r="220">
      <c r="A220" s="82" t="n"/>
      <c r="B220" s="23" t="n"/>
      <c r="C220" s="23" t="n"/>
      <c r="D220" s="23" t="n"/>
      <c r="E220" s="83" t="n"/>
      <c r="F220" s="23" t="n"/>
      <c r="G220" s="23" t="n"/>
      <c r="H220" s="23" t="n"/>
    </row>
    <row r="221">
      <c r="A221" s="82" t="n"/>
      <c r="B221" s="23" t="n"/>
      <c r="C221" s="23" t="n"/>
      <c r="D221" s="23" t="n"/>
      <c r="E221" s="83" t="n"/>
      <c r="F221" s="23" t="n"/>
      <c r="G221" s="23" t="n"/>
      <c r="H221" s="23" t="n"/>
    </row>
    <row r="222">
      <c r="A222" s="82" t="n"/>
      <c r="B222" s="23" t="n"/>
      <c r="C222" s="23" t="n"/>
      <c r="D222" s="23" t="n"/>
      <c r="E222" s="83" t="n"/>
      <c r="F222" s="23" t="n"/>
      <c r="G222" s="23" t="n"/>
      <c r="H222" s="23" t="n"/>
    </row>
    <row r="223">
      <c r="A223" s="82" t="n"/>
      <c r="B223" s="23" t="n"/>
      <c r="C223" s="23" t="n"/>
      <c r="D223" s="23" t="n"/>
      <c r="E223" s="83" t="n"/>
      <c r="F223" s="23" t="n"/>
      <c r="G223" s="23" t="n"/>
      <c r="H223" s="23" t="n"/>
    </row>
    <row r="224">
      <c r="A224" s="82" t="n"/>
      <c r="B224" s="23" t="n"/>
      <c r="C224" s="23" t="n"/>
      <c r="D224" s="23" t="n"/>
      <c r="E224" s="83" t="n"/>
      <c r="F224" s="23" t="n"/>
      <c r="G224" s="23" t="n"/>
      <c r="H224" s="23" t="n"/>
    </row>
    <row r="225">
      <c r="A225" s="82" t="n"/>
      <c r="B225" s="23" t="n"/>
      <c r="C225" s="23" t="n"/>
      <c r="D225" s="23" t="n"/>
      <c r="E225" s="83" t="n"/>
      <c r="F225" s="23" t="n"/>
      <c r="G225" s="23" t="n"/>
      <c r="H225" s="23" t="n"/>
    </row>
    <row r="226">
      <c r="A226" s="82" t="n"/>
      <c r="B226" s="23" t="n"/>
      <c r="C226" s="23" t="n"/>
      <c r="D226" s="23" t="n"/>
      <c r="E226" s="83" t="n"/>
      <c r="F226" s="23" t="n"/>
      <c r="G226" s="23" t="n"/>
      <c r="H226" s="23" t="n"/>
    </row>
    <row r="227">
      <c r="A227" s="82" t="n"/>
      <c r="B227" s="23" t="n"/>
      <c r="C227" s="23" t="n"/>
      <c r="D227" s="23" t="n"/>
      <c r="E227" s="83" t="n"/>
      <c r="F227" s="23" t="n"/>
      <c r="G227" s="23" t="n"/>
      <c r="H227" s="23" t="n"/>
    </row>
    <row r="228">
      <c r="A228" s="82" t="n"/>
      <c r="B228" s="23" t="n"/>
      <c r="C228" s="23" t="n"/>
      <c r="D228" s="23" t="n"/>
      <c r="E228" s="83" t="n"/>
      <c r="F228" s="23" t="n"/>
      <c r="G228" s="23" t="n"/>
      <c r="H228" s="23" t="n"/>
    </row>
    <row r="229">
      <c r="A229" s="82" t="n"/>
      <c r="B229" s="23" t="n"/>
      <c r="C229" s="23" t="n"/>
      <c r="D229" s="23" t="n"/>
      <c r="E229" s="83" t="n"/>
      <c r="F229" s="23" t="n"/>
      <c r="G229" s="23" t="n"/>
      <c r="H229" s="23" t="n"/>
    </row>
    <row r="230">
      <c r="A230" s="82" t="n"/>
      <c r="B230" s="23" t="n"/>
      <c r="C230" s="23" t="n"/>
      <c r="D230" s="23" t="n"/>
      <c r="E230" s="83" t="n"/>
      <c r="F230" s="23" t="n"/>
      <c r="G230" s="23" t="n"/>
      <c r="H230" s="23" t="n"/>
    </row>
    <row r="231">
      <c r="A231" s="82" t="n"/>
      <c r="B231" s="23" t="n"/>
      <c r="C231" s="23" t="n"/>
      <c r="D231" s="23" t="n"/>
      <c r="E231" s="83" t="n"/>
      <c r="F231" s="23" t="n"/>
      <c r="G231" s="23" t="n"/>
      <c r="H231" s="23" t="n"/>
    </row>
    <row r="232">
      <c r="A232" s="82" t="n"/>
      <c r="B232" s="23" t="n"/>
      <c r="C232" s="23" t="n"/>
      <c r="D232" s="23" t="n"/>
      <c r="E232" s="83" t="n"/>
      <c r="F232" s="23" t="n"/>
      <c r="G232" s="23" t="n"/>
      <c r="H232" s="23" t="n"/>
    </row>
    <row r="233">
      <c r="A233" s="82" t="n"/>
      <c r="B233" s="23" t="n"/>
      <c r="C233" s="23" t="n"/>
      <c r="D233" s="23" t="n"/>
      <c r="E233" s="83" t="n"/>
      <c r="F233" s="23" t="n"/>
      <c r="G233" s="23" t="n"/>
      <c r="H233" s="23" t="n"/>
    </row>
    <row r="234">
      <c r="A234" s="82" t="n"/>
      <c r="B234" s="23" t="n"/>
      <c r="C234" s="23" t="n"/>
      <c r="D234" s="23" t="n"/>
      <c r="E234" s="83" t="n"/>
      <c r="F234" s="23" t="n"/>
      <c r="G234" s="23" t="n"/>
      <c r="H234" s="23" t="n"/>
    </row>
    <row r="235">
      <c r="A235" s="82" t="n"/>
      <c r="B235" s="23" t="n"/>
      <c r="C235" s="23" t="n"/>
      <c r="D235" s="23" t="n"/>
      <c r="E235" s="83" t="n"/>
      <c r="F235" s="23" t="n"/>
      <c r="G235" s="23" t="n"/>
      <c r="H235" s="23" t="n"/>
    </row>
    <row r="236">
      <c r="A236" s="82" t="n"/>
      <c r="B236" s="23" t="n"/>
      <c r="C236" s="23" t="n"/>
      <c r="D236" s="23" t="n"/>
      <c r="E236" s="83" t="n"/>
      <c r="F236" s="23" t="n"/>
      <c r="G236" s="23" t="n"/>
      <c r="H236" s="23" t="n"/>
    </row>
    <row r="237">
      <c r="A237" s="82" t="n"/>
      <c r="B237" s="23" t="n"/>
      <c r="C237" s="23" t="n"/>
      <c r="D237" s="23" t="n"/>
      <c r="E237" s="83" t="n"/>
      <c r="F237" s="23" t="n"/>
      <c r="G237" s="23" t="n"/>
      <c r="H237" s="23" t="n"/>
    </row>
    <row r="238">
      <c r="A238" s="82" t="n"/>
      <c r="B238" s="23" t="n"/>
      <c r="C238" s="23" t="n"/>
      <c r="D238" s="23" t="n"/>
      <c r="E238" s="83" t="n"/>
      <c r="F238" s="23" t="n"/>
      <c r="G238" s="23" t="n"/>
      <c r="H238" s="23" t="n"/>
    </row>
    <row r="239">
      <c r="A239" s="82" t="n"/>
      <c r="B239" s="23" t="n"/>
      <c r="C239" s="23" t="n"/>
      <c r="D239" s="23" t="n"/>
      <c r="E239" s="83" t="n"/>
      <c r="F239" s="23" t="n"/>
      <c r="G239" s="23" t="n"/>
      <c r="H239" s="23" t="n"/>
    </row>
    <row r="240">
      <c r="A240" s="82" t="n"/>
      <c r="B240" s="23" t="n"/>
      <c r="C240" s="23" t="n"/>
      <c r="D240" s="23" t="n"/>
      <c r="E240" s="83" t="n"/>
      <c r="F240" s="23" t="n"/>
      <c r="G240" s="23" t="n"/>
      <c r="H240" s="23" t="n"/>
    </row>
    <row r="241">
      <c r="A241" s="82" t="n"/>
      <c r="B241" s="23" t="n"/>
      <c r="C241" s="23" t="n"/>
      <c r="D241" s="23" t="n"/>
      <c r="E241" s="83" t="n"/>
      <c r="F241" s="23" t="n"/>
      <c r="G241" s="23" t="n"/>
      <c r="H241" s="23" t="n"/>
    </row>
    <row r="242">
      <c r="A242" s="82" t="n"/>
      <c r="B242" s="23" t="n"/>
      <c r="C242" s="23" t="n"/>
      <c r="D242" s="23" t="n"/>
      <c r="E242" s="83" t="n"/>
      <c r="F242" s="23" t="n"/>
      <c r="G242" s="23" t="n"/>
      <c r="H242" s="23" t="n"/>
    </row>
    <row r="243">
      <c r="A243" s="82" t="n"/>
      <c r="B243" s="23" t="n"/>
      <c r="C243" s="23" t="n"/>
      <c r="D243" s="23" t="n"/>
      <c r="E243" s="83" t="n"/>
      <c r="F243" s="23" t="n"/>
      <c r="G243" s="23" t="n"/>
      <c r="H243" s="23" t="n"/>
    </row>
    <row r="244">
      <c r="A244" s="82" t="n"/>
      <c r="B244" s="23" t="n"/>
      <c r="C244" s="23" t="n"/>
      <c r="D244" s="23" t="n"/>
      <c r="E244" s="83" t="n"/>
      <c r="F244" s="23" t="n"/>
      <c r="G244" s="23" t="n"/>
      <c r="H244" s="23" t="n"/>
    </row>
    <row r="245">
      <c r="A245" s="82" t="n"/>
      <c r="B245" s="23" t="n"/>
      <c r="C245" s="23" t="n"/>
      <c r="D245" s="23" t="n"/>
      <c r="E245" s="83" t="n"/>
      <c r="F245" s="23" t="n"/>
      <c r="G245" s="23" t="n"/>
      <c r="H245" s="23" t="n"/>
    </row>
    <row r="246">
      <c r="A246" s="82" t="n"/>
      <c r="B246" s="23" t="n"/>
      <c r="C246" s="23" t="n"/>
      <c r="D246" s="23" t="n"/>
      <c r="E246" s="83" t="n"/>
      <c r="F246" s="23" t="n"/>
      <c r="G246" s="23" t="n"/>
      <c r="H246" s="23" t="n"/>
    </row>
    <row r="247">
      <c r="A247" s="82" t="n"/>
      <c r="B247" s="23" t="n"/>
      <c r="C247" s="23" t="n"/>
      <c r="D247" s="23" t="n"/>
      <c r="E247" s="83" t="n"/>
      <c r="F247" s="23" t="n"/>
      <c r="G247" s="23" t="n"/>
      <c r="H247" s="23" t="n"/>
    </row>
    <row r="248">
      <c r="A248" s="82" t="n"/>
      <c r="B248" s="23" t="n"/>
      <c r="C248" s="23" t="n"/>
      <c r="D248" s="23" t="n"/>
      <c r="E248" s="83" t="n"/>
      <c r="F248" s="23" t="n"/>
      <c r="G248" s="23" t="n"/>
      <c r="H248" s="23" t="n"/>
    </row>
    <row r="249">
      <c r="A249" s="82" t="n"/>
      <c r="B249" s="23" t="n"/>
      <c r="C249" s="23" t="n"/>
      <c r="D249" s="23" t="n"/>
      <c r="E249" s="83" t="n"/>
      <c r="F249" s="23" t="n"/>
      <c r="G249" s="23" t="n"/>
      <c r="H249" s="23" t="n"/>
    </row>
    <row r="250">
      <c r="A250" s="82" t="n"/>
      <c r="B250" s="23" t="n"/>
      <c r="C250" s="23" t="n"/>
      <c r="D250" s="23" t="n"/>
      <c r="E250" s="83" t="n"/>
      <c r="F250" s="23" t="n"/>
      <c r="G250" s="23" t="n"/>
      <c r="H250" s="23" t="n"/>
    </row>
    <row r="251">
      <c r="A251" s="82" t="n"/>
      <c r="B251" s="23" t="n"/>
      <c r="C251" s="23" t="n"/>
      <c r="D251" s="23" t="n"/>
      <c r="E251" s="83" t="n"/>
      <c r="F251" s="23" t="n"/>
      <c r="G251" s="23" t="n"/>
      <c r="H251" s="23" t="n"/>
    </row>
    <row r="252">
      <c r="A252" s="82" t="n"/>
      <c r="B252" s="23" t="n"/>
      <c r="C252" s="23" t="n"/>
      <c r="D252" s="23" t="n"/>
      <c r="E252" s="83" t="n"/>
      <c r="F252" s="23" t="n"/>
      <c r="G252" s="23" t="n"/>
      <c r="H252" s="23" t="n"/>
    </row>
    <row r="253">
      <c r="A253" s="82" t="n"/>
      <c r="B253" s="23" t="n"/>
      <c r="C253" s="23" t="n"/>
      <c r="D253" s="23" t="n"/>
      <c r="E253" s="83" t="n"/>
      <c r="F253" s="23" t="n"/>
      <c r="G253" s="23" t="n"/>
      <c r="H253" s="23" t="n"/>
    </row>
    <row r="254">
      <c r="A254" s="82" t="n"/>
      <c r="B254" s="23" t="n"/>
      <c r="C254" s="23" t="n"/>
      <c r="D254" s="23" t="n"/>
      <c r="E254" s="83" t="n"/>
      <c r="F254" s="23" t="n"/>
      <c r="G254" s="23" t="n"/>
      <c r="H254" s="23" t="n"/>
    </row>
    <row r="255">
      <c r="A255" s="82" t="n"/>
      <c r="B255" s="23" t="n"/>
      <c r="C255" s="23" t="n"/>
      <c r="D255" s="23" t="n"/>
      <c r="E255" s="83" t="n"/>
      <c r="F255" s="23" t="n"/>
      <c r="G255" s="23" t="n"/>
      <c r="H255" s="23" t="n"/>
    </row>
    <row r="256">
      <c r="A256" s="82" t="n"/>
      <c r="B256" s="23" t="n"/>
      <c r="C256" s="23" t="n"/>
      <c r="D256" s="23" t="n"/>
      <c r="E256" s="83" t="n"/>
      <c r="F256" s="23" t="n"/>
      <c r="G256" s="23" t="n"/>
      <c r="H256" s="23" t="n"/>
    </row>
    <row r="257">
      <c r="A257" s="82" t="n"/>
      <c r="B257" s="23" t="n"/>
      <c r="C257" s="23" t="n"/>
      <c r="D257" s="23" t="n"/>
      <c r="E257" s="83" t="n"/>
      <c r="F257" s="23" t="n"/>
      <c r="G257" s="23" t="n"/>
      <c r="H257" s="23" t="n"/>
    </row>
    <row r="258">
      <c r="A258" s="82" t="n"/>
      <c r="B258" s="23" t="n"/>
      <c r="C258" s="23" t="n"/>
      <c r="D258" s="23" t="n"/>
      <c r="E258" s="83" t="n"/>
      <c r="F258" s="23" t="n"/>
      <c r="G258" s="23" t="n"/>
      <c r="H258" s="23" t="n"/>
    </row>
    <row r="259">
      <c r="A259" s="82" t="n"/>
      <c r="B259" s="23" t="n"/>
      <c r="C259" s="23" t="n"/>
      <c r="D259" s="23" t="n"/>
      <c r="E259" s="83" t="n"/>
      <c r="F259" s="23" t="n"/>
      <c r="G259" s="23" t="n"/>
      <c r="H259" s="23" t="n"/>
    </row>
    <row r="260">
      <c r="A260" s="82" t="n"/>
      <c r="B260" s="23" t="n"/>
      <c r="C260" s="23" t="n"/>
      <c r="D260" s="23" t="n"/>
      <c r="E260" s="83" t="n"/>
      <c r="F260" s="23" t="n"/>
      <c r="G260" s="23" t="n"/>
      <c r="H260" s="23" t="n"/>
    </row>
    <row r="261">
      <c r="A261" s="82" t="n"/>
      <c r="B261" s="23" t="n"/>
      <c r="C261" s="23" t="n"/>
      <c r="D261" s="23" t="n"/>
      <c r="E261" s="83" t="n"/>
      <c r="F261" s="23" t="n"/>
      <c r="G261" s="23" t="n"/>
      <c r="H261" s="23" t="n"/>
    </row>
    <row r="262">
      <c r="A262" s="82" t="n"/>
      <c r="B262" s="23" t="n"/>
      <c r="C262" s="23" t="n"/>
      <c r="D262" s="23" t="n"/>
      <c r="E262" s="83" t="n"/>
      <c r="F262" s="23" t="n"/>
      <c r="G262" s="23" t="n"/>
      <c r="H262" s="23" t="n"/>
    </row>
    <row r="263">
      <c r="A263" s="82" t="n"/>
      <c r="B263" s="23" t="n"/>
      <c r="C263" s="23" t="n"/>
      <c r="D263" s="23" t="n"/>
      <c r="E263" s="83" t="n"/>
      <c r="F263" s="23" t="n"/>
      <c r="G263" s="23" t="n"/>
      <c r="H263" s="23" t="n"/>
    </row>
    <row r="264">
      <c r="A264" s="82" t="n"/>
      <c r="B264" s="23" t="n"/>
      <c r="C264" s="23" t="n"/>
      <c r="D264" s="23" t="n"/>
      <c r="E264" s="83" t="n"/>
      <c r="F264" s="23" t="n"/>
      <c r="G264" s="23" t="n"/>
      <c r="H264" s="23" t="n"/>
    </row>
    <row r="265">
      <c r="A265" s="82" t="n"/>
      <c r="B265" s="23" t="n"/>
      <c r="C265" s="23" t="n"/>
      <c r="D265" s="23" t="n"/>
      <c r="E265" s="83" t="n"/>
      <c r="F265" s="23" t="n"/>
      <c r="G265" s="23" t="n"/>
      <c r="H265" s="23" t="n"/>
    </row>
    <row r="266">
      <c r="A266" s="82" t="n"/>
      <c r="B266" s="23" t="n"/>
      <c r="C266" s="23" t="n"/>
      <c r="D266" s="23" t="n"/>
      <c r="E266" s="83" t="n"/>
      <c r="F266" s="23" t="n"/>
      <c r="G266" s="23" t="n"/>
      <c r="H266" s="23" t="n"/>
    </row>
    <row r="267">
      <c r="A267" s="82" t="n"/>
      <c r="B267" s="23" t="n"/>
      <c r="C267" s="23" t="n"/>
      <c r="D267" s="23" t="n"/>
      <c r="E267" s="83" t="n"/>
      <c r="F267" s="23" t="n"/>
      <c r="G267" s="23" t="n"/>
      <c r="H267" s="23" t="n"/>
    </row>
    <row r="268">
      <c r="A268" s="82" t="n"/>
      <c r="B268" s="23" t="n"/>
      <c r="C268" s="23" t="n"/>
      <c r="D268" s="23" t="n"/>
      <c r="E268" s="83" t="n"/>
      <c r="F268" s="23" t="n"/>
      <c r="G268" s="23" t="n"/>
      <c r="H268" s="23" t="n"/>
    </row>
    <row r="269">
      <c r="A269" s="82" t="n"/>
      <c r="B269" s="23" t="n"/>
      <c r="C269" s="23" t="n"/>
      <c r="D269" s="23" t="n"/>
      <c r="E269" s="83" t="n"/>
      <c r="F269" s="23" t="n"/>
      <c r="G269" s="23" t="n"/>
      <c r="H269" s="23" t="n"/>
    </row>
    <row r="270">
      <c r="A270" s="82" t="n"/>
      <c r="B270" s="23" t="n"/>
      <c r="C270" s="23" t="n"/>
      <c r="D270" s="23" t="n"/>
      <c r="E270" s="83" t="n"/>
      <c r="F270" s="23" t="n"/>
      <c r="G270" s="23" t="n"/>
      <c r="H270" s="23" t="n"/>
    </row>
    <row r="271">
      <c r="A271" s="82" t="n"/>
      <c r="B271" s="23" t="n"/>
      <c r="C271" s="23" t="n"/>
      <c r="D271" s="23" t="n"/>
      <c r="E271" s="83" t="n"/>
      <c r="F271" s="23" t="n"/>
      <c r="G271" s="23" t="n"/>
      <c r="H271" s="23" t="n"/>
    </row>
    <row r="272">
      <c r="A272" s="82" t="n"/>
      <c r="B272" s="23" t="n"/>
      <c r="C272" s="23" t="n"/>
      <c r="D272" s="23" t="n"/>
      <c r="E272" s="83" t="n"/>
      <c r="F272" s="23" t="n"/>
      <c r="G272" s="23" t="n"/>
      <c r="H272" s="23" t="n"/>
    </row>
    <row r="273">
      <c r="A273" s="82" t="n"/>
      <c r="B273" s="23" t="n"/>
      <c r="C273" s="23" t="n"/>
      <c r="D273" s="23" t="n"/>
      <c r="E273" s="83" t="n"/>
      <c r="F273" s="23" t="n"/>
      <c r="G273" s="23" t="n"/>
      <c r="H273" s="23" t="n"/>
    </row>
    <row r="274">
      <c r="A274" s="82" t="n"/>
      <c r="B274" s="23" t="n"/>
      <c r="C274" s="23" t="n"/>
      <c r="D274" s="23" t="n"/>
      <c r="E274" s="83" t="n"/>
      <c r="F274" s="23" t="n"/>
      <c r="G274" s="23" t="n"/>
      <c r="H274" s="23" t="n"/>
    </row>
    <row r="275">
      <c r="A275" s="82" t="n"/>
      <c r="B275" s="23" t="n"/>
      <c r="C275" s="23" t="n"/>
      <c r="D275" s="23" t="n"/>
      <c r="E275" s="83" t="n"/>
      <c r="F275" s="23" t="n"/>
      <c r="G275" s="23" t="n"/>
      <c r="H275" s="23" t="n"/>
    </row>
    <row r="276">
      <c r="A276" s="82" t="n"/>
      <c r="B276" s="23" t="n"/>
      <c r="C276" s="23" t="n"/>
      <c r="D276" s="23" t="n"/>
      <c r="E276" s="83" t="n"/>
      <c r="F276" s="23" t="n"/>
      <c r="G276" s="23" t="n"/>
      <c r="H276" s="23" t="n"/>
    </row>
    <row r="277">
      <c r="A277" s="82" t="n"/>
      <c r="B277" s="23" t="n"/>
      <c r="C277" s="23" t="n"/>
      <c r="D277" s="23" t="n"/>
      <c r="E277" s="83" t="n"/>
      <c r="F277" s="23" t="n"/>
      <c r="G277" s="23" t="n"/>
      <c r="H277" s="23" t="n"/>
    </row>
    <row r="278">
      <c r="A278" s="82" t="n"/>
      <c r="B278" s="23" t="n"/>
      <c r="C278" s="23" t="n"/>
      <c r="D278" s="23" t="n"/>
      <c r="E278" s="83" t="n"/>
      <c r="F278" s="23" t="n"/>
      <c r="G278" s="23" t="n"/>
      <c r="H278" s="23" t="n"/>
    </row>
    <row r="279">
      <c r="A279" s="82" t="n"/>
      <c r="B279" s="23" t="n"/>
      <c r="C279" s="23" t="n"/>
      <c r="D279" s="23" t="n"/>
      <c r="E279" s="83" t="n"/>
      <c r="F279" s="23" t="n"/>
      <c r="G279" s="23" t="n"/>
      <c r="H279" s="23" t="n"/>
    </row>
    <row r="280">
      <c r="A280" s="82" t="n"/>
      <c r="B280" s="23" t="n"/>
      <c r="C280" s="23" t="n"/>
      <c r="D280" s="23" t="n"/>
      <c r="E280" s="83" t="n"/>
      <c r="F280" s="23" t="n"/>
      <c r="G280" s="23" t="n"/>
      <c r="H280" s="23" t="n"/>
    </row>
    <row r="281">
      <c r="A281" s="82" t="n"/>
      <c r="B281" s="23" t="n"/>
      <c r="C281" s="23" t="n"/>
      <c r="D281" s="23" t="n"/>
      <c r="E281" s="83" t="n"/>
      <c r="F281" s="23" t="n"/>
      <c r="G281" s="23" t="n"/>
      <c r="H281" s="23" t="n"/>
    </row>
    <row r="282">
      <c r="A282" s="82" t="n"/>
      <c r="B282" s="23" t="n"/>
      <c r="C282" s="23" t="n"/>
      <c r="D282" s="23" t="n"/>
      <c r="E282" s="83" t="n"/>
      <c r="F282" s="23" t="n"/>
      <c r="G282" s="23" t="n"/>
      <c r="H282" s="23" t="n"/>
    </row>
    <row r="283">
      <c r="A283" s="82" t="n"/>
      <c r="B283" s="23" t="n"/>
      <c r="C283" s="23" t="n"/>
      <c r="D283" s="23" t="n"/>
      <c r="E283" s="83" t="n"/>
      <c r="F283" s="23" t="n"/>
      <c r="G283" s="23" t="n"/>
      <c r="H283" s="23" t="n"/>
    </row>
    <row r="284">
      <c r="A284" s="82" t="n"/>
      <c r="B284" s="23" t="n"/>
      <c r="C284" s="23" t="n"/>
      <c r="D284" s="23" t="n"/>
      <c r="E284" s="83" t="n"/>
      <c r="F284" s="23" t="n"/>
      <c r="G284" s="23" t="n"/>
      <c r="H284" s="23" t="n"/>
    </row>
    <row r="285">
      <c r="A285" s="82" t="n"/>
      <c r="B285" s="23" t="n"/>
      <c r="C285" s="23" t="n"/>
      <c r="D285" s="23" t="n"/>
      <c r="E285" s="83" t="n"/>
      <c r="F285" s="23" t="n"/>
      <c r="G285" s="23" t="n"/>
      <c r="H285" s="23" t="n"/>
    </row>
    <row r="286">
      <c r="A286" s="82" t="n"/>
      <c r="B286" s="23" t="n"/>
      <c r="C286" s="23" t="n"/>
      <c r="D286" s="23" t="n"/>
      <c r="E286" s="83" t="n"/>
      <c r="F286" s="23" t="n"/>
      <c r="G286" s="23" t="n"/>
      <c r="H286" s="23" t="n"/>
    </row>
    <row r="287">
      <c r="A287" s="82" t="n"/>
      <c r="B287" s="23" t="n"/>
      <c r="C287" s="23" t="n"/>
      <c r="D287" s="23" t="n"/>
      <c r="E287" s="83" t="n"/>
      <c r="F287" s="23" t="n"/>
      <c r="G287" s="23" t="n"/>
      <c r="H287" s="23" t="n"/>
    </row>
    <row r="288">
      <c r="A288" s="82" t="n"/>
      <c r="B288" s="23" t="n"/>
      <c r="C288" s="23" t="n"/>
      <c r="D288" s="23" t="n"/>
      <c r="E288" s="83" t="n"/>
      <c r="F288" s="23" t="n"/>
      <c r="G288" s="23" t="n"/>
      <c r="H288" s="23" t="n"/>
    </row>
    <row r="289">
      <c r="A289" s="82" t="n"/>
      <c r="B289" s="23" t="n"/>
      <c r="C289" s="23" t="n"/>
      <c r="D289" s="23" t="n"/>
      <c r="E289" s="83" t="n"/>
      <c r="F289" s="23" t="n"/>
      <c r="G289" s="23" t="n"/>
      <c r="H289" s="23" t="n"/>
    </row>
    <row r="290">
      <c r="A290" s="82" t="n"/>
      <c r="B290" s="23" t="n"/>
      <c r="C290" s="23" t="n"/>
      <c r="D290" s="23" t="n"/>
      <c r="E290" s="83" t="n"/>
      <c r="F290" s="23" t="n"/>
      <c r="G290" s="23" t="n"/>
      <c r="H290" s="23" t="n"/>
    </row>
    <row r="291">
      <c r="A291" s="82" t="n"/>
      <c r="B291" s="23" t="n"/>
      <c r="C291" s="23" t="n"/>
      <c r="D291" s="23" t="n"/>
      <c r="E291" s="83" t="n"/>
      <c r="F291" s="23" t="n"/>
      <c r="G291" s="23" t="n"/>
      <c r="H291" s="23" t="n"/>
    </row>
    <row r="292">
      <c r="A292" s="82" t="n"/>
      <c r="B292" s="23" t="n"/>
      <c r="C292" s="23" t="n"/>
      <c r="D292" s="23" t="n"/>
      <c r="E292" s="83" t="n"/>
      <c r="F292" s="23" t="n"/>
      <c r="G292" s="23" t="n"/>
      <c r="H292" s="23" t="n"/>
    </row>
    <row r="293">
      <c r="A293" s="82" t="n"/>
      <c r="B293" s="23" t="n"/>
      <c r="C293" s="23" t="n"/>
      <c r="D293" s="23" t="n"/>
      <c r="E293" s="83" t="n"/>
      <c r="F293" s="23" t="n"/>
      <c r="G293" s="23" t="n"/>
      <c r="H293" s="23" t="n"/>
    </row>
    <row r="294">
      <c r="A294" s="82" t="n"/>
      <c r="B294" s="23" t="n"/>
      <c r="C294" s="23" t="n"/>
      <c r="D294" s="23" t="n"/>
      <c r="E294" s="83" t="n"/>
      <c r="F294" s="23" t="n"/>
      <c r="G294" s="23" t="n"/>
      <c r="H294" s="23" t="n"/>
    </row>
    <row r="295">
      <c r="A295" s="82" t="n"/>
      <c r="B295" s="23" t="n"/>
      <c r="C295" s="23" t="n"/>
      <c r="D295" s="23" t="n"/>
      <c r="E295" s="83" t="n"/>
      <c r="F295" s="23" t="n"/>
      <c r="G295" s="23" t="n"/>
      <c r="H295" s="23" t="n"/>
    </row>
    <row r="296">
      <c r="A296" s="82" t="n"/>
      <c r="B296" s="23" t="n"/>
      <c r="C296" s="23" t="n"/>
      <c r="D296" s="23" t="n"/>
      <c r="E296" s="83" t="n"/>
      <c r="F296" s="23" t="n"/>
      <c r="G296" s="23" t="n"/>
      <c r="H296" s="23" t="n"/>
    </row>
    <row r="297">
      <c r="A297" s="82" t="n"/>
      <c r="B297" s="23" t="n"/>
      <c r="C297" s="23" t="n"/>
      <c r="D297" s="23" t="n"/>
      <c r="E297" s="83" t="n"/>
      <c r="F297" s="23" t="n"/>
      <c r="G297" s="23" t="n"/>
      <c r="H297" s="23" t="n"/>
    </row>
    <row r="298">
      <c r="A298" s="82" t="n"/>
      <c r="B298" s="23" t="n"/>
      <c r="C298" s="23" t="n"/>
      <c r="D298" s="23" t="n"/>
      <c r="E298" s="83" t="n"/>
      <c r="F298" s="23" t="n"/>
      <c r="G298" s="23" t="n"/>
      <c r="H298" s="23" t="n"/>
    </row>
    <row r="299">
      <c r="A299" s="82" t="n"/>
      <c r="B299" s="23" t="n"/>
      <c r="C299" s="23" t="n"/>
      <c r="D299" s="23" t="n"/>
      <c r="E299" s="83" t="n"/>
      <c r="F299" s="23" t="n"/>
      <c r="G299" s="23" t="n"/>
      <c r="H299" s="23" t="n"/>
    </row>
    <row r="300">
      <c r="A300" s="82" t="n"/>
      <c r="B300" s="23" t="n"/>
      <c r="C300" s="23" t="n"/>
      <c r="D300" s="23" t="n"/>
      <c r="E300" s="83" t="n"/>
      <c r="F300" s="23" t="n"/>
      <c r="G300" s="23" t="n"/>
      <c r="H300" s="23" t="n"/>
    </row>
    <row r="301">
      <c r="A301" s="82" t="n"/>
      <c r="B301" s="23" t="n"/>
      <c r="C301" s="23" t="n"/>
      <c r="D301" s="23" t="n"/>
      <c r="E301" s="83" t="n"/>
      <c r="F301" s="23" t="n"/>
      <c r="G301" s="23" t="n"/>
      <c r="H301" s="23" t="n"/>
    </row>
    <row r="302">
      <c r="A302" s="82" t="n"/>
      <c r="B302" s="23" t="n"/>
      <c r="C302" s="23" t="n"/>
      <c r="D302" s="23" t="n"/>
      <c r="E302" s="83" t="n"/>
      <c r="F302" s="23" t="n"/>
      <c r="G302" s="23" t="n"/>
      <c r="H302" s="23" t="n"/>
    </row>
    <row r="303">
      <c r="A303" s="82" t="n"/>
      <c r="B303" s="23" t="n"/>
      <c r="C303" s="23" t="n"/>
      <c r="D303" s="23" t="n"/>
      <c r="E303" s="83" t="n"/>
      <c r="F303" s="23" t="n"/>
      <c r="G303" s="23" t="n"/>
      <c r="H303" s="23" t="n"/>
    </row>
    <row r="304">
      <c r="A304" s="82" t="n"/>
      <c r="B304" s="23" t="n"/>
      <c r="C304" s="23" t="n"/>
      <c r="D304" s="23" t="n"/>
      <c r="E304" s="83" t="n"/>
      <c r="F304" s="23" t="n"/>
      <c r="G304" s="23" t="n"/>
      <c r="H304" s="23" t="n"/>
    </row>
    <row r="305">
      <c r="A305" s="82" t="n"/>
      <c r="B305" s="23" t="n"/>
      <c r="C305" s="23" t="n"/>
      <c r="D305" s="23" t="n"/>
      <c r="E305" s="83" t="n"/>
      <c r="F305" s="23" t="n"/>
      <c r="G305" s="23" t="n"/>
      <c r="H305" s="23" t="n"/>
    </row>
  </sheetData>
  <mergeCells count="1">
    <mergeCell ref="B3:D3"/>
  </mergeCells>
  <dataValidations count="1">
    <dataValidation sqref="F6:F305" showDropDown="0" showInputMessage="0" showErrorMessage="0" allowBlank="1" type="list">
      <formula1>"Draft,Sent,Approved,Completed,Lost"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2026-10-28T17:09:30Z</dcterms:created>
  <dcterms:modified xmlns:dcterms="http://purl.org/dc/terms/" xmlns:xsi="http://www.w3.org/2001/XMLSchema-instance" xsi:type="dcterms:W3CDTF">2026-10-28T17:09:30Z</dcterms:modified>
</cp:coreProperties>
</file>